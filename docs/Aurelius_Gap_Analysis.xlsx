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aps" sheetId="2" state="visible" r:id="rId4"/>
    <sheet name="Already in place" sheetId="3" state="visible" r:id="rId5"/>
  </sheets>
  <definedNames>
    <definedName function="false" hidden="true" localSheetId="1" name="_xlnm._FilterDatabase" vbProcedure="false">Gaps!$A$1:$M$40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<sst xmlns="http://schemas.openxmlformats.org/spreadsheetml/2006/main" count="417" uniqueCount="268">
  <si>
    <t xml:space="preserve">Aurelius gap analysis</t>
  </si>
  <si>
    <t xml:space="preserve">What the system lacks compared with how agentic-AI teams build, ordered by priority.</t>
  </si>
  <si>
    <t xml:space="preserve">By priority</t>
  </si>
  <si>
    <t xml:space="preserve">Priority</t>
  </si>
  <si>
    <t xml:space="preserve">Gaps</t>
  </si>
  <si>
    <t xml:space="preserve">To build</t>
  </si>
  <si>
    <t xml:space="preserve">Explain only</t>
  </si>
  <si>
    <t xml:space="preserve">Avg impact</t>
  </si>
  <si>
    <t xml:space="preserve">P0  Critical for AI roles</t>
  </si>
  <si>
    <t xml:space="preserve">P1  High</t>
  </si>
  <si>
    <t xml:space="preserve">P2  Medium</t>
  </si>
  <si>
    <t xml:space="preserve">P3  Low</t>
  </si>
  <si>
    <t xml:space="preserve">Total</t>
  </si>
  <si>
    <t xml:space="preserve">Your decisions (fill in column L on the Gaps sheet)</t>
  </si>
  <si>
    <t xml:space="preserve">Decision</t>
  </si>
  <si>
    <t xml:space="preserve">Count</t>
  </si>
  <si>
    <t xml:space="preserve">Add now</t>
  </si>
  <si>
    <t xml:space="preserve">Add later</t>
  </si>
  <si>
    <t xml:space="preserve">No</t>
  </si>
  <si>
    <t xml:space="preserve">Not decided yet</t>
  </si>
  <si>
    <t xml:space="preserve">How to read it</t>
  </si>
  <si>
    <t xml:space="preserve">P0: an AI-engineering interviewer will probe these in the first ten minutes.</t>
  </si>
  <si>
    <t xml:space="preserve">P1: expected in a serious agentic system; strong talking points.</t>
  </si>
  <si>
    <t xml:space="preserve">P2: production polish; usually enough to explain how you'd do it.</t>
  </si>
  <si>
    <t xml:space="preserve">P3: low value for an AI role right now.</t>
  </si>
  <si>
    <t xml:space="preserve">Effort: S = about a day, M = 2 to 4 days, L = a week or more.</t>
  </si>
  <si>
    <t xml:space="preserve">Verdict 'Build' means worth adding to the code; 'Explain only' means prepare a clear answer instead.</t>
  </si>
  <si>
    <t xml:space="preserve">The 'Already in place' sheet lists what Aurelius already does well, so you can say both.</t>
  </si>
  <si>
    <t xml:space="preserve">#</t>
  </si>
  <si>
    <t xml:space="preserve">Area</t>
  </si>
  <si>
    <t xml:space="preserve">Gap</t>
  </si>
  <si>
    <t xml:space="preserve">Aurelius today</t>
  </si>
  <si>
    <t xml:space="preserve">Status</t>
  </si>
  <si>
    <t xml:space="preserve">What strong agentic-AI teams do</t>
  </si>
  <si>
    <t xml:space="preserve">Why interviewers care</t>
  </si>
  <si>
    <t xml:space="preserve">First-pass verdict</t>
  </si>
  <si>
    <t xml:space="preserve">Effort</t>
  </si>
  <si>
    <t xml:space="preserve">Interview impact (1-5)</t>
  </si>
  <si>
    <t xml:space="preserve">Your decision</t>
  </si>
  <si>
    <t xml:space="preserve">Notes</t>
  </si>
  <si>
    <t xml:space="preserve">P0</t>
  </si>
  <si>
    <t xml:space="preserve">Evaluation</t>
  </si>
  <si>
    <t xml:space="preserve">No evaluation harness for the AI behaviour</t>
  </si>
  <si>
    <t xml:space="preserve">About 400 unit/API tests check code paths. Nothing measures answer quality: no golden question set, no scores for routing, grounding or guardrails.</t>
  </si>
  <si>
    <t xml:space="preserve">Missing</t>
  </si>
  <si>
    <t xml:space="preserve">Offline eval suites run on every change: golden datasets, LLM-as-judge plus exact checks, tracked scores over time, regression gates in CI.</t>
  </si>
  <si>
    <t xml:space="preserve">First question in most AI interviews: 'How do you know it works, and how do you know a prompt change didn't break it?'</t>
  </si>
  <si>
    <t xml:space="preserve">Build</t>
  </si>
  <si>
    <t xml:space="preserve">M</t>
  </si>
  <si>
    <t xml:space="preserve">LLM usage</t>
  </si>
  <si>
    <t xml:space="preserve">Never run end to end with a real LLM</t>
  </si>
  <si>
    <t xml:space="preserve">Code supports Claude in the planner (forced tool call), synthesizer, Analyst loop, Scribe, Sentinel classifier and Librarian answerer, but every run so far used LLM_MOCK and the fallback rule planner.</t>
  </si>
  <si>
    <t xml:space="preserve">Partial</t>
  </si>
  <si>
    <t xml:space="preserve">Agents run on real models in dev and staging; behaviour with the real model is what gets demoed and measured.</t>
  </si>
  <si>
    <t xml:space="preserve">'Show me the planner picking agents for a question it hasn't seen.' With mocks you can't.</t>
  </si>
  <si>
    <t xml:space="preserve">S</t>
  </si>
  <si>
    <t xml:space="preserve">Agent loop</t>
  </si>
  <si>
    <t xml:space="preserve">The one real tool-use loop isn't reachable, and the Conductor never re-plans</t>
  </si>
  <si>
    <t xml:space="preserve">Analyst ask_portfolio is a genuine loop (Claude calls MCP tools until it can answer; allowlist, client scope pinning, turn limit), but the apps can't call it. The Conductor plans once and never looks at results to decide a next step.</t>
  </si>
  <si>
    <t xml:space="preserve">Agents observe tool results and decide the next action (ReAct / plan-act-reflect), with step limits, and re-plan when a step fails or returns too little.</t>
  </si>
  <si>
    <t xml:space="preserve">'What makes this agentic rather than a workflow?' You need a live example of the model choosing actions.</t>
  </si>
  <si>
    <t xml:space="preserve">Observability</t>
  </si>
  <si>
    <t xml:space="preserve">No end-to-end trace of a request across agents and LLM calls</t>
  </si>
  <si>
    <t xml:space="preserve">X-Trace-Id flows everywhere and every service logs it; LLM calls log tokens and estimated cost. There are no spans, no trace view and no dashboard.</t>
  </si>
  <si>
    <t xml:space="preserve">OpenTelemetry (or Langfuse, LangSmith, Phoenix) traces: one tree showing plan, each agent call, each LLM call with prompt, tokens, latency, cost and errors.</t>
  </si>
  <si>
    <t xml:space="preserve">'A user says the answer was wrong. Walk me through how you debug it.'</t>
  </si>
  <si>
    <t xml:space="preserve">Grounding</t>
  </si>
  <si>
    <t xml:space="preserve">Final answers aren't checked against the agents' data</t>
  </si>
  <si>
    <t xml:space="preserve">The Librarian answers only from retrieved passages with citations. The Conductor's synthesizer can still state numbers that aren't in any agent output, and nothing checks.</t>
  </si>
  <si>
    <t xml:space="preserve">Grounding checks: every number or claim in the final answer must trace to a tool or agent result, or the answer is flagged or regenerated.</t>
  </si>
  <si>
    <t xml:space="preserve">Finance cares most about this: 'How do you stop it inventing a balance or a return?'</t>
  </si>
  <si>
    <t xml:space="preserve">Cost and latency</t>
  </si>
  <si>
    <t xml:space="preserve">No per-request cost and latency accounting or budgets</t>
  </si>
  <si>
    <t xml:space="preserve">Estimated cost is logged per LLM call. It isn't summed per request or user, there are no budget caps and no p50/p95 latency numbers.</t>
  </si>
  <si>
    <t xml:space="preserve">Each request carries a budget (tokens, steps, seconds); cost and latency are reported per request and per agent, with alerts.</t>
  </si>
  <si>
    <t xml:space="preserve">'What does one question cost and how long does it take? How would that scale to 10,000 advisors?'</t>
  </si>
  <si>
    <t xml:space="preserve">P1</t>
  </si>
  <si>
    <t xml:space="preserve">Documentation</t>
  </si>
  <si>
    <t xml:space="preserve">No architecture document or decision records</t>
  </si>
  <si>
    <t xml:space="preserve">Per-agent READMEs and TESTING files are good. The top-level docs/ is empty: no system diagram, no record of why decisions were made.</t>
  </si>
  <si>
    <t xml:space="preserve">A C4-style architecture diagram plus short decision records (why MCP, why separate services, why human approval, why Haiku).</t>
  </si>
  <si>
    <t xml:space="preserve">This is what you'll actually screen-share in the interview.</t>
  </si>
  <si>
    <t xml:space="preserve">Security</t>
  </si>
  <si>
    <t xml:space="preserve">No adversarial (red-team) test set for prompt injection</t>
  </si>
  <si>
    <t xml:space="preserve">Several layers exist: Sentinel heuristics plus an LLM classifier, Librarian and Pulse quarantine injected documents and news, Analyst pins client scope. None are measured against a set of attacks.</t>
  </si>
  <si>
    <t xml:space="preserve">A red-team suite of direct and indirect injections, data-exfiltration and jailbreak attempts, with catch rate and false-positive rate tracked as part of evals.</t>
  </si>
  <si>
    <t xml:space="preserve">'Someone hides instructions in a news article or a PDF. What happens?' You can answer, but numbers are better.</t>
  </si>
  <si>
    <t xml:space="preserve">No per-advisor entitlements (who may see which household)</t>
  </si>
  <si>
    <t xml:space="preserve">Any signed-in advisor can open any household. The dev JWT has a username but no book of clients or role.</t>
  </si>
  <si>
    <t xml:space="preserve">Entitlement checks on every data access (advisor to household mapping), enforced server-side and passed down to agents and tools.</t>
  </si>
  <si>
    <t xml:space="preserve">Very important in a regulated firm: 'Can advisor A see advisor B's clients?'</t>
  </si>
  <si>
    <t xml:space="preserve">Proactive agents</t>
  </si>
  <si>
    <t xml:space="preserve">Nothing acts on events by itself</t>
  </si>
  <si>
    <t xml:space="preserve">Pulse detects and streams events that affect a household, but no agent reacts (for example drafting a check-in email when a high-severity event hits a client, queued for approval).</t>
  </si>
  <si>
    <t xml:space="preserve">Event-driven agents: a trigger starts a workflow, the agent prepares work, and a human approves. Usually where the most business value is.</t>
  </si>
  <si>
    <t xml:space="preserve">Shows real agentic behaviour (autonomy within guardrails), not just question answering.</t>
  </si>
  <si>
    <t xml:space="preserve">Memory</t>
  </si>
  <si>
    <t xml:space="preserve">No conversation or long-term memory</t>
  </si>
  <si>
    <t xml:space="preserve">Each Ask is independent; follow-up questions lose context. Nothing is remembered about advisor preferences or past answers.</t>
  </si>
  <si>
    <t xml:space="preserve">Short-term session memory (recent turns, summarised), plus selective long-term memory with clear retention rules.</t>
  </si>
  <si>
    <t xml:space="preserve">'How does it handle a follow-up like "and what about her IRA?"'</t>
  </si>
  <si>
    <t xml:space="preserve">RAG quality</t>
  </si>
  <si>
    <t xml:space="preserve">Basic retrieval only, and it isn't measured</t>
  </si>
  <si>
    <t xml:space="preserve">Chunking, MiniLM embeddings, Chroma, a minimum score and citations. No keyword or hybrid search, no reranker, no filtering by date or version, no retrieval metrics.</t>
  </si>
  <si>
    <t xml:space="preserve">Hybrid search (BM25 plus vectors), a reranker, metadata filters (effective date, document type), and retrieval evals (recall@k, citation accuracy).</t>
  </si>
  <si>
    <t xml:space="preserve">'How do you know the right policy passage was retrieved? What if two versions of a policy exist?'</t>
  </si>
  <si>
    <t xml:space="preserve">Audit</t>
  </si>
  <si>
    <t xml:space="preserve">No single replayable record of what an agent decided and why</t>
  </si>
  <si>
    <t xml:space="preserve">Sentinel and Herald write audit lines, and logs carry the trace ID. Plan, prompts, tool calls and outputs aren't stored together.</t>
  </si>
  <si>
    <t xml:space="preserve">An immutable decision record per request (inputs, plan, prompts, tool calls, outputs, approvals, model version) that can be replayed.</t>
  </si>
  <si>
    <t xml:space="preserve">Regulators and model-risk teams ask for this. 'Six months later, can you show why it said that?'</t>
  </si>
  <si>
    <t xml:space="preserve">Compliance</t>
  </si>
  <si>
    <t xml:space="preserve">Regulatory requirements are handled informally</t>
  </si>
  <si>
    <t xml:space="preserve">Disclosures, human approval, PII masking and audit logs exist. There's no explicit mapping to FINRA 2210 (communications), books-and-records retention (SEC 17a-4), Reg BI or a supervisory review queue.</t>
  </si>
  <si>
    <t xml:space="preserve">A documented control map: each requirement, the control that meets it and the evidence. Records kept in write-once (WORM) storage.</t>
  </si>
  <si>
    <t xml:space="preserve">Even one sentence per rule shows you understand the domain the interviewer works in.</t>
  </si>
  <si>
    <t xml:space="preserve">Delivery</t>
  </si>
  <si>
    <t xml:space="preserve">No one-command run (containers)</t>
  </si>
  <si>
    <t xml:space="preserve">Twelve terminals, started by hand in order.</t>
  </si>
  <si>
    <t xml:space="preserve">Docker Compose locally, with health checks and dependency order; the same images deploy to Kubernetes or ECS.</t>
  </si>
  <si>
    <t xml:space="preserve">'How do I run it?' should take one command. It also proves the services are really independent.</t>
  </si>
  <si>
    <t xml:space="preserve">No CI pipeline</t>
  </si>
  <si>
    <t xml:space="preserve">Each suite runs by hand (pytest, npm test, mvn test, go test, flutter test).</t>
  </si>
  <si>
    <t xml:space="preserve">GitHub Actions running every suite, linters and evals on each pull request.</t>
  </si>
  <si>
    <t xml:space="preserve">Cheap to add and expected of any serious repo.</t>
  </si>
  <si>
    <t xml:space="preserve">Architecture</t>
  </si>
  <si>
    <t xml:space="preserve">Ten services in four languages is more than the problem needs</t>
  </si>
  <si>
    <t xml:space="preserve">Deliberate, to show a language-neutral contract, but a real team would likely use 2 to 3 services.</t>
  </si>
  <si>
    <t xml:space="preserve">Design choice</t>
  </si>
  <si>
    <t xml:space="preserve">Service boundaries follow team ownership and scaling needs; most teams avoid more than one or two languages.</t>
  </si>
  <si>
    <t xml:space="preserve">'Why Java and Go here?' Have a crisp trade-off answer ready, including what you'd merge.</t>
  </si>
  <si>
    <t xml:space="preserve">Data and privacy</t>
  </si>
  <si>
    <t xml:space="preserve">No clear statement of what data goes to the LLM</t>
  </si>
  <si>
    <t xml:space="preserve">PII is masked in the Liaison and Sentinel; the LLM provider isn't configured for data residency and there's no data classification or retention policy for prompts.</t>
  </si>
  <si>
    <t xml:space="preserve">Data classification, minimisation before LLM calls, zero-retention or private deployment (for example Bedrock or Vertex in-region), and prompt-log retention rules.</t>
  </si>
  <si>
    <t xml:space="preserve">'Does client PII leave the firm? How do you control that?'</t>
  </si>
  <si>
    <t xml:space="preserve">P2</t>
  </si>
  <si>
    <t xml:space="preserve">Streaming UX</t>
  </si>
  <si>
    <t xml:space="preserve">Answers arrive all at once</t>
  </si>
  <si>
    <t xml:space="preserve">Ask waits for the full plan, execution and synthesis. Only market news streams.</t>
  </si>
  <si>
    <t xml:space="preserve">Stream step progress ('asking the Librarian…') and answer tokens to the UI.</t>
  </si>
  <si>
    <t xml:space="preserve">Nice demo quality; shows you understand perceived latency.</t>
  </si>
  <si>
    <t xml:space="preserve">Model strategy</t>
  </si>
  <si>
    <t xml:space="preserve">One model, no routing or fallback</t>
  </si>
  <si>
    <t xml:space="preserve">Claude Haiku 4.5 everywhere (configurable). No fallback when the provider is down, no routing of hard questions to a larger model.</t>
  </si>
  <si>
    <t xml:space="preserve">Model routing by task difficulty and cost, fallback model or provider, and timeouts per call.</t>
  </si>
  <si>
    <t xml:space="preserve">'What if the LLM API is down during market hours?'</t>
  </si>
  <si>
    <t xml:space="preserve">Structured outputs</t>
  </si>
  <si>
    <t xml:space="preserve">Invalid model output isn't repaired</t>
  </si>
  <si>
    <t xml:space="preserve">Forced tool calls and Pydantic schemas validate output; validate_plan drops bad steps and caps stages and steps. There's no retry with the validation error.</t>
  </si>
  <si>
    <t xml:space="preserve">Validate, then retry once with the error message; count schema failures as a metric.</t>
  </si>
  <si>
    <t xml:space="preserve">Small detail that shows production experience.</t>
  </si>
  <si>
    <t xml:space="preserve">Rate limits</t>
  </si>
  <si>
    <t xml:space="preserve">No per-user limits on expensive endpoints</t>
  </si>
  <si>
    <t xml:space="preserve">Only the sign-in endpoint is throttled. /v1/chat can be called without limit, and each call costs LLM tokens.</t>
  </si>
  <si>
    <t xml:space="preserve">Per-user and per-endpoint rate limits and daily cost caps.</t>
  </si>
  <si>
    <t xml:space="preserve">Ties into the cost question.</t>
  </si>
  <si>
    <t xml:space="preserve">Feedback</t>
  </si>
  <si>
    <t xml:space="preserve">No user feedback signal</t>
  </si>
  <si>
    <t xml:space="preserve">Approving an email records it, but edits and ratings aren't captured.</t>
  </si>
  <si>
    <t xml:space="preserve">Thumbs up/down and the diff between draft and approved text, fed into evals and prompt improvements.</t>
  </si>
  <si>
    <t xml:space="preserve">'How does it get better over time?'</t>
  </si>
  <si>
    <t xml:space="preserve">Data store</t>
  </si>
  <si>
    <t xml:space="preserve">JSON files and in-memory state</t>
  </si>
  <si>
    <t xml:space="preserve">CRM, KYC and events load from JSON; writes live in memory or small files. No database, migrations or concurrent-write handling.</t>
  </si>
  <si>
    <t xml:space="preserve">A real database (Postgres) for CRM, audit and approvals; vector store as a managed service.</t>
  </si>
  <si>
    <t xml:space="preserve">Expected to be explained more than built for a portfolio project.</t>
  </si>
  <si>
    <t xml:space="preserve">Workflows</t>
  </si>
  <si>
    <t xml:space="preserve">No durable or long-running jobs</t>
  </si>
  <si>
    <t xml:space="preserve">Everything is a synchronous HTTP call. Nothing like 'scan all 500 households overnight and prepare tomorrow's briefings'.</t>
  </si>
  <si>
    <t xml:space="preserve">A job queue or durable workflow engine (Celery, Temporal, Step Functions) with retries and resumable state.</t>
  </si>
  <si>
    <t xml:space="preserve">Good follow-up topic once proactive agents exist.</t>
  </si>
  <si>
    <t xml:space="preserve">Interoperability</t>
  </si>
  <si>
    <t xml:space="preserve">A custom agent protocol instead of a standard one</t>
  </si>
  <si>
    <t xml:space="preserve">Every agent publishes /.well-known/agent.json (in the spirit of A2A agent cards) and a shared /invoke contract, but it isn't the A2A specification.</t>
  </si>
  <si>
    <t xml:space="preserve">Standard protocols: MCP for tools (already used) and A2A for agent-to-agent calls.</t>
  </si>
  <si>
    <t xml:space="preserve">Shows awareness of where the industry is heading.</t>
  </si>
  <si>
    <t xml:space="preserve">Contracts</t>
  </si>
  <si>
    <t xml:space="preserve">No shared schema or contract tests between services</t>
  </si>
  <si>
    <t xml:space="preserve">Each service tests its own side. The top-level contracts/ folder is empty.</t>
  </si>
  <si>
    <t xml:space="preserve">One JSON Schema/OpenAPI for the agent contract, with consumer-driven contract tests in CI.</t>
  </si>
  <si>
    <t xml:space="preserve">Stops one team's change breaking another's.</t>
  </si>
  <si>
    <t xml:space="preserve">Cloud deployment</t>
  </si>
  <si>
    <t xml:space="preserve">Nothing deployed and no infrastructure as code</t>
  </si>
  <si>
    <t xml:space="preserve">The infra/ folder is empty.</t>
  </si>
  <si>
    <t xml:space="preserve">Terraform or CDK for a cloud environment, managed secrets, private networking.</t>
  </si>
  <si>
    <t xml:space="preserve">Useful for a platform role; a diagram is enough for most interviews.</t>
  </si>
  <si>
    <t xml:space="preserve">L</t>
  </si>
  <si>
    <t xml:space="preserve">Prompt management</t>
  </si>
  <si>
    <t xml:space="preserve">Prompts live in code without versions</t>
  </si>
  <si>
    <t xml:space="preserve">Prompts are constants in each service.</t>
  </si>
  <si>
    <t xml:space="preserve">Versioned prompts tied to eval results, with the prompt version recorded on every trace.</t>
  </si>
  <si>
    <t xml:space="preserve">Pairs with evals and the audit record.</t>
  </si>
  <si>
    <t xml:space="preserve">Resilience</t>
  </si>
  <si>
    <t xml:space="preserve">Basic resilience only</t>
  </si>
  <si>
    <t xml:space="preserve">Timeouts, one retry, per-section failures shown in the UI, MCP snapshot fallback, reconnect with backoff. No circuit breakers or bulkheads.</t>
  </si>
  <si>
    <t xml:space="preserve">Circuit breakers, bulkheads, degraded-mode responses, chaos tests.</t>
  </si>
  <si>
    <t xml:space="preserve">You can describe what exists, which is already decent.</t>
  </si>
  <si>
    <t xml:space="preserve">Scale</t>
  </si>
  <si>
    <t xml:space="preserve">Single-instance assumptions</t>
  </si>
  <si>
    <t xml:space="preserve">In-memory throttles, Pulse's in-process broker and per-process SSE fan-out wouldn't survive multiple instances.</t>
  </si>
  <si>
    <t xml:space="preserve">Stateless services, shared rate-limit store (Redis), message broker (Kafka, SNS/SQS) for events.</t>
  </si>
  <si>
    <t xml:space="preserve">'What breaks first at 100x load?'</t>
  </si>
  <si>
    <t xml:space="preserve">Test data</t>
  </si>
  <si>
    <t xml:space="preserve">Only three households</t>
  </si>
  <si>
    <t xml:space="preserve">Patel, Chen and Garcia, hand-written.</t>
  </si>
  <si>
    <t xml:space="preserve">A generator for hundreds of realistic synthetic households to test scale, evals and UI.</t>
  </si>
  <si>
    <t xml:space="preserve">Makes demos and load tests believable.</t>
  </si>
  <si>
    <t xml:space="preserve">Load testing</t>
  </si>
  <si>
    <t xml:space="preserve">No performance or load tests</t>
  </si>
  <si>
    <t xml:space="preserve">Latency was observed by hand (about 80 ms for the overview with recorded answers).</t>
  </si>
  <si>
    <t xml:space="preserve">k6 or Locust scenarios with p95 targets.</t>
  </si>
  <si>
    <t xml:space="preserve">Rarely asked directly in AI interviews.</t>
  </si>
  <si>
    <t xml:space="preserve">Skip for now</t>
  </si>
  <si>
    <t xml:space="preserve">P3</t>
  </si>
  <si>
    <t xml:space="preserve">Secrets</t>
  </si>
  <si>
    <t xml:space="preserve">Secrets in a .env file</t>
  </si>
  <si>
    <t xml:space="preserve">Git-ignored .env with generated secrets; services fail closed on weak tokens.</t>
  </si>
  <si>
    <t xml:space="preserve">A secrets manager (Vault, AWS Secrets Manager) with rotation; mTLS between services.</t>
  </si>
  <si>
    <t xml:space="preserve">Fine to explain verbally.</t>
  </si>
  <si>
    <t xml:space="preserve">Identity</t>
  </si>
  <si>
    <t xml:space="preserve">Dev password instead of SSO</t>
  </si>
  <si>
    <t xml:space="preserve">One shared DEV_LOGIN_PASSWORD; JWT signed by the Conductor.</t>
  </si>
  <si>
    <t xml:space="preserve">SSO via OIDC (Okta, Entra ID) with MFA; the apps keep using a JWT.</t>
  </si>
  <si>
    <t xml:space="preserve">Standard; the design already allows swapping it.</t>
  </si>
  <si>
    <t xml:space="preserve">Code structure</t>
  </si>
  <si>
    <t xml:space="preserve">Boilerplate duplicated across services</t>
  </si>
  <si>
    <t xml:space="preserve">Logging setup, auth and contract classes are copied into each agent.</t>
  </si>
  <si>
    <t xml:space="preserve">Shared internal libraries per language, or a service template.</t>
  </si>
  <si>
    <t xml:space="preserve">Only matters if asked; be ready to say why copies were acceptable here.</t>
  </si>
  <si>
    <t xml:space="preserve">Mobile</t>
  </si>
  <si>
    <t xml:space="preserve">No release build, store signing or push notifications</t>
  </si>
  <si>
    <t xml:space="preserve">Debug builds only; live news is in-app only.</t>
  </si>
  <si>
    <t xml:space="preserve">Signed release builds and push notifications for high-severity events.</t>
  </si>
  <si>
    <t xml:space="preserve">Low value for an AI role.</t>
  </si>
  <si>
    <t xml:space="preserve">Accessibility</t>
  </si>
  <si>
    <t xml:space="preserve">No automated accessibility testing</t>
  </si>
  <si>
    <t xml:space="preserve">Semantic HTML, labels, focus styles and reduced-motion support were built in; not tested automatically.</t>
  </si>
  <si>
    <t xml:space="preserve">axe checks in CI, screen-reader testing.</t>
  </si>
  <si>
    <t xml:space="preserve">Rarely asked for this kind of role.</t>
  </si>
  <si>
    <t xml:space="preserve">Multi-tenancy</t>
  </si>
  <si>
    <t xml:space="preserve">One firm only</t>
  </si>
  <si>
    <t xml:space="preserve">No notion of firms, branches or tenants.</t>
  </si>
  <si>
    <t xml:space="preserve">Tenant isolation in data, keys and indexes.</t>
  </si>
  <si>
    <t xml:space="preserve">Not expected in a portfolio project.</t>
  </si>
  <si>
    <t xml:space="preserve">Skip</t>
  </si>
  <si>
    <t xml:space="preserve">What Aurelius already has</t>
  </si>
  <si>
    <t xml:space="preserve">Orchestration</t>
  </si>
  <si>
    <t xml:space="preserve">Planner (LLM with forced tool call, plus a rule fallback), executor running stages in parallel, synthesizer; plans validated and capped (max stages and steps).</t>
  </si>
  <si>
    <t xml:space="preserve">Real agent loop</t>
  </si>
  <si>
    <t xml:space="preserve">Analyst ask_portfolio: Claude chooses MCP tools until it can answer, with tool allowlist, client scope pinning and a turn limit.</t>
  </si>
  <si>
    <t xml:space="preserve">MCP</t>
  </si>
  <si>
    <t xml:space="preserve">A real MCP server (streamable HTTP, sessions) used from Python, Java and Go clients, with a service token.</t>
  </si>
  <si>
    <t xml:space="preserve">RAG</t>
  </si>
  <si>
    <t xml:space="preserve">Ingest, chunking, embeddings, Chroma, minimum score, citations, quarantine of documents containing injection text.</t>
  </si>
  <si>
    <t xml:space="preserve">Guardrails</t>
  </si>
  <si>
    <t xml:space="preserve">Sentinel checks input, output and emails (injection, PII, non-compliant claims); used before and after agents and again on approval.</t>
  </si>
  <si>
    <t xml:space="preserve">Human in the loop</t>
  </si>
  <si>
    <t xml:space="preserve">Drafts never send; approval re-checks the edited text and logs an idempotent CRM note with a fingerprint, not the body.</t>
  </si>
  <si>
    <t xml:space="preserve">Security basics</t>
  </si>
  <si>
    <t xml:space="preserve">Service token with constant-time comparison and fail-closed startup, advisor JWT, read-only skill allowlist for the apps, input size caps, login throttling, CSP, token never in URLs.</t>
  </si>
  <si>
    <t xml:space="preserve">Traceability</t>
  </si>
  <si>
    <t xml:space="preserve">X-Trace-Id across all languages and back to the UI; per-call LLM token and cost logging; prompt caching on system prompts.</t>
  </si>
  <si>
    <t xml:space="preserve">Timeouts, one retry for transient failures, per-section 'didn't answer' instead of a failed page, MCP snapshot fallbacks, SSE reconnect with backoff.</t>
  </si>
  <si>
    <t xml:space="preserve">Testing</t>
  </si>
  <si>
    <t xml:space="preserve">Unit and API tests in every service (Python, TypeScript, Java, Go) and both apps; app tests replay real recorded agent outputs.</t>
  </si>
  <si>
    <t xml:space="preserve">Product</t>
  </si>
  <si>
    <t xml:space="preserve">Two working front ends (React web, Flutter mobile) over one API, with live streaming market news.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</si>
</sst>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C2B30"/>
      <name val="Arial"/>
      <family val="0"/>
      <charset val="1"/>
    </font>
    <font>
      <sz val="11"/>
      <color rgb="FF4A5A5F"/>
      <name val="Arial"/>
      <family val="0"/>
      <charset val="1"/>
    </font>
    <font>
      <b val="true"/>
      <sz val="12"/>
      <color rgb="FF2E5E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2B30"/>
        <bgColor rgb="FF333300"/>
      </patternFill>
    </fill>
    <fill>
      <patternFill patternType="solid">
        <fgColor rgb="FFFFF4CC"/>
        <bgColor rgb="FFF6EBC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DD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C2B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CE7"/>
          <bgColor rgb="FF000000"/>
        </patternFill>
      </fill>
    </dxf>
    <dxf>
      <fill>
        <patternFill patternType="solid">
          <fgColor rgb="FFEEF0EF"/>
          <bgColor rgb="FF000000"/>
        </patternFill>
      </fill>
    </dxf>
    <dxf>
      <fill>
        <patternFill patternType="solid">
          <fgColor rgb="FFF4D9D3"/>
          <bgColor rgb="FF000000"/>
        </patternFill>
      </fill>
    </dxf>
    <dxf>
      <fill>
        <patternFill patternType="solid">
          <fgColor rgb="FFF6EBC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>
          <bgColor rgb="FFF4D9D3"/>
        </patternFill>
      </fill>
    </dxf>
    <dxf>
      <fill>
        <patternFill>
          <bgColor rgb="FFF6EBCF"/>
        </patternFill>
      </fill>
    </dxf>
    <dxf>
      <fill>
        <patternFill>
          <bgColor rgb="FFE3ECE7"/>
        </patternFill>
      </fill>
    </dxf>
    <dxf>
      <fill>
        <patternFill>
          <bgColor rgb="FFEEF0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23A"/>
      <rgbColor rgb="FF800080"/>
      <rgbColor rgb="FF2E5E4E"/>
      <rgbColor rgb="FFC0C0C0"/>
      <rgbColor rgb="FF808080"/>
      <rgbColor rgb="FF9999FF"/>
      <rgbColor rgb="FF993366"/>
      <rgbColor rgb="FFFFF4CC"/>
      <rgbColor rgb="FFE3ECE7"/>
      <rgbColor rgb="FF660066"/>
      <rgbColor rgb="FFFF8080"/>
      <rgbColor rgb="FF0066CC"/>
      <rgbColor rgb="FFD7DD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EF"/>
      <rgbColor rgb="FFCCFFCC"/>
      <rgbColor rgb="FFF6EBCF"/>
      <rgbColor rgb="FF99CCFF"/>
      <rgbColor rgb="FFFF99CC"/>
      <rgbColor rgb="FFCC99FF"/>
      <rgbColor rgb="FFF4D9D3"/>
      <rgbColor rgb="FF3366FF"/>
      <rgbColor rgb="FF33CCCC"/>
      <rgbColor rgb="FF99CC00"/>
      <rgbColor rgb="FFFFCC00"/>
      <rgbColor rgb="FFFF9900"/>
      <rgbColor rgb="FFFF6600"/>
      <rgbColor rgb="FF4A5A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4E"/>
    <pageSetUpPr fitToPage="false"/>
  </sheetPr>
  <dimension ref="B2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5" hidden="false" customHeight="false" outlineLevel="0" collapsed="false">
      <c r="B7" s="5" t="s">
        <v>8</v>
      </c>
      <c r="C7" s="6" t="n">
        <f aca="false">COUNTIF(Gaps!$B$2:$B$40,"P0")</f>
        <v>6</v>
      </c>
      <c r="D7" s="6" t="n">
        <f aca="false">COUNTIFS(Gaps!$B$2:$B$40,"P0",Gaps!$I$2:$I$40,"Build")</f>
        <v>6</v>
      </c>
      <c r="E7" s="6" t="n">
        <f aca="false">COUNTIFS(Gaps!$B$2:$B$40,"P0",Gaps!$I$2:$I$40,"Explain only")</f>
        <v>0</v>
      </c>
      <c r="F7" s="7" t="n">
        <f aca="false">IFERROR(AVERAGEIF(Gaps!$B$2:$B$40,"P0",Gaps!$K$2:$K$40),0)</f>
        <v>4.83333333333333</v>
      </c>
    </row>
    <row r="8" customFormat="false" ht="15" hidden="false" customHeight="false" outlineLevel="0" collapsed="false">
      <c r="B8" s="5" t="s">
        <v>9</v>
      </c>
      <c r="C8" s="6" t="n">
        <f aca="false">COUNTIF(Gaps!$B$2:$B$40,"P1")</f>
        <v>12</v>
      </c>
      <c r="D8" s="6" t="n">
        <f aca="false">COUNTIFS(Gaps!$B$2:$B$40,"P1",Gaps!$I$2:$I$40,"Build")</f>
        <v>9</v>
      </c>
      <c r="E8" s="6" t="n">
        <f aca="false">COUNTIFS(Gaps!$B$2:$B$40,"P1",Gaps!$I$2:$I$40,"Explain only")</f>
        <v>3</v>
      </c>
      <c r="F8" s="7" t="n">
        <f aca="false">IFERROR(AVERAGEIF(Gaps!$B$2:$B$40,"P1",Gaps!$K$2:$K$40),0)</f>
        <v>4.08333333333333</v>
      </c>
    </row>
    <row r="9" customFormat="false" ht="15" hidden="false" customHeight="false" outlineLevel="0" collapsed="false">
      <c r="B9" s="5" t="s">
        <v>10</v>
      </c>
      <c r="C9" s="6" t="n">
        <f aca="false">COUNTIF(Gaps!$B$2:$B$40,"P2")</f>
        <v>15</v>
      </c>
      <c r="D9" s="6" t="n">
        <f aca="false">COUNTIFS(Gaps!$B$2:$B$40,"P2",Gaps!$I$2:$I$40,"Build")</f>
        <v>8</v>
      </c>
      <c r="E9" s="6" t="n">
        <f aca="false">COUNTIFS(Gaps!$B$2:$B$40,"P2",Gaps!$I$2:$I$40,"Explain only")</f>
        <v>6</v>
      </c>
      <c r="F9" s="7" t="n">
        <f aca="false">IFERROR(AVERAGEIF(Gaps!$B$2:$B$40,"P2",Gaps!$K$2:$K$40),0)</f>
        <v>2.66666666666667</v>
      </c>
    </row>
    <row r="10" customFormat="false" ht="15" hidden="false" customHeight="false" outlineLevel="0" collapsed="false">
      <c r="B10" s="5" t="s">
        <v>11</v>
      </c>
      <c r="C10" s="6" t="n">
        <f aca="false">COUNTIF(Gaps!$B$2:$B$40,"P3")</f>
        <v>6</v>
      </c>
      <c r="D10" s="6" t="n">
        <f aca="false">COUNTIFS(Gaps!$B$2:$B$40,"P3",Gaps!$I$2:$I$40,"Build")</f>
        <v>0</v>
      </c>
      <c r="E10" s="6" t="n">
        <f aca="false">COUNTIFS(Gaps!$B$2:$B$40,"P3",Gaps!$I$2:$I$40,"Explain only")</f>
        <v>3</v>
      </c>
      <c r="F10" s="7" t="n">
        <f aca="false">IFERROR(AVERAGEIF(Gaps!$B$2:$B$40,"P3",Gaps!$K$2:$K$40),0)</f>
        <v>1.33333333333333</v>
      </c>
    </row>
    <row r="11" customFormat="false" ht="15" hidden="false" customHeight="false" outlineLevel="0" collapsed="false">
      <c r="B11" s="8" t="s">
        <v>12</v>
      </c>
      <c r="C11" s="9" t="n">
        <f aca="false">SUM(C7:C10)</f>
        <v>39</v>
      </c>
      <c r="D11" s="9" t="n">
        <f aca="false">SUM(D7:D10)</f>
        <v>23</v>
      </c>
      <c r="E11" s="9" t="n">
        <f aca="false">SUM(E7:E10)</f>
        <v>12</v>
      </c>
    </row>
    <row r="13" customFormat="false" ht="15" hidden="false" customHeight="false" outlineLevel="0" collapsed="false">
      <c r="B13" s="3" t="s">
        <v>13</v>
      </c>
    </row>
    <row r="14" customFormat="false" ht="15" hidden="false" customHeight="false" outlineLevel="0" collapsed="false">
      <c r="B14" s="4" t="s">
        <v>14</v>
      </c>
      <c r="C14" s="4" t="s">
        <v>15</v>
      </c>
    </row>
    <row r="15" customFormat="false" ht="15" hidden="false" customHeight="false" outlineLevel="0" collapsed="false">
      <c r="B15" s="5" t="s">
        <v>16</v>
      </c>
      <c r="C15" s="6" t="n">
        <f aca="false">COUNTIF(Gaps!$L$2:$L$40,"Add now")</f>
        <v>0</v>
      </c>
    </row>
    <row r="16" customFormat="false" ht="15" hidden="false" customHeight="false" outlineLevel="0" collapsed="false">
      <c r="B16" s="5" t="s">
        <v>17</v>
      </c>
      <c r="C16" s="6" t="n">
        <f aca="false">COUNTIF(Gaps!$L$2:$L$40,"Add later")</f>
        <v>0</v>
      </c>
    </row>
    <row r="17" customFormat="false" ht="15" hidden="false" customHeight="false" outlineLevel="0" collapsed="false">
      <c r="B17" s="5" t="s">
        <v>6</v>
      </c>
      <c r="C17" s="6" t="n">
        <f aca="false">COUNTIF(Gaps!$L$2:$L$40,"Explain only")</f>
        <v>0</v>
      </c>
    </row>
    <row r="18" customFormat="false" ht="15" hidden="false" customHeight="false" outlineLevel="0" collapsed="false">
      <c r="B18" s="5" t="s">
        <v>18</v>
      </c>
      <c r="C18" s="6" t="n">
        <f aca="false">COUNTIF(Gaps!$L$2:$L$40,"No")</f>
        <v>0</v>
      </c>
    </row>
    <row r="19" customFormat="false" ht="15" hidden="false" customHeight="false" outlineLevel="0" collapsed="false">
      <c r="B19" s="5" t="s">
        <v>19</v>
      </c>
      <c r="C19" s="6" t="n">
        <f aca="false">COUNTA(Gaps!$D$2:$D$40)-SUM(C15:C18)</f>
        <v>39</v>
      </c>
    </row>
    <row r="21" customFormat="false" ht="15" hidden="false" customHeight="false" outlineLevel="0" collapsed="false">
      <c r="B21" s="3" t="s">
        <v>20</v>
      </c>
    </row>
    <row r="22" customFormat="false" ht="15" hidden="false" customHeight="false" outlineLevel="0" collapsed="false">
      <c r="B22" s="10" t="s">
        <v>21</v>
      </c>
      <c r="C22" s="10"/>
      <c r="D22" s="10"/>
      <c r="E22" s="10"/>
      <c r="F22" s="10"/>
      <c r="G22" s="10"/>
    </row>
    <row r="23" customFormat="false" ht="15" hidden="false" customHeight="false" outlineLevel="0" collapsed="false">
      <c r="B23" s="10" t="s">
        <v>22</v>
      </c>
      <c r="C23" s="10"/>
      <c r="D23" s="10"/>
      <c r="E23" s="10"/>
      <c r="F23" s="10"/>
      <c r="G23" s="10"/>
    </row>
    <row r="24" customFormat="false" ht="15" hidden="false" customHeight="false" outlineLevel="0" collapsed="false">
      <c r="B24" s="10" t="s">
        <v>23</v>
      </c>
      <c r="C24" s="10"/>
      <c r="D24" s="10"/>
      <c r="E24" s="10"/>
      <c r="F24" s="10"/>
      <c r="G24" s="10"/>
    </row>
    <row r="25" customFormat="false" ht="15" hidden="false" customHeight="false" outlineLevel="0" collapsed="false">
      <c r="B25" s="10" t="s">
        <v>24</v>
      </c>
      <c r="C25" s="10"/>
      <c r="D25" s="10"/>
      <c r="E25" s="10"/>
      <c r="F25" s="10"/>
      <c r="G25" s="10"/>
    </row>
    <row r="26" customFormat="false" ht="15" hidden="false" customHeight="false" outlineLevel="0" collapsed="false">
      <c r="B26" s="10" t="s">
        <v>25</v>
      </c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0" t="s">
        <v>26</v>
      </c>
      <c r="C27" s="10"/>
      <c r="D27" s="10"/>
      <c r="E27" s="10"/>
      <c r="F27" s="10"/>
      <c r="G27" s="10"/>
    </row>
    <row r="28" customFormat="false" ht="15" hidden="false" customHeight="false" outlineLevel="0" collapsed="false">
      <c r="B28" s="10" t="s">
        <v>27</v>
      </c>
      <c r="C28" s="10"/>
      <c r="D28" s="10"/>
      <c r="E28" s="10"/>
      <c r="F28" s="10"/>
      <c r="G28" s="10"/>
    </row>
  </sheetData>
  <mergeCells count="7"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B30"/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50"/>
    <col collapsed="false" customWidth="true" hidden="false" outlineLevel="0" max="8" min="8" style="0" width="45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30"/>
  </cols>
  <sheetData>
    <row r="1" customFormat="false" ht="31.5" hidden="false" customHeight="true" outlineLevel="0" collapsed="false">
      <c r="A1" s="11" t="s">
        <v>28</v>
      </c>
      <c r="B1" s="11" t="s">
        <v>3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  <c r="L1" s="11" t="s">
        <v>38</v>
      </c>
      <c r="M1" s="11" t="s">
        <v>39</v>
      </c>
    </row>
    <row r="2" customFormat="false" ht="35.05" hidden="false" customHeight="false" outlineLevel="0" collapsed="false">
      <c r="A2" s="12" t="n">
        <v>1</v>
      </c>
      <c r="B2" s="12" t="s">
        <v>40</v>
      </c>
      <c r="C2" s="13" t="s">
        <v>41</v>
      </c>
      <c r="D2" s="14" t="s">
        <v>42</v>
      </c>
      <c r="E2" s="13" t="s">
        <v>43</v>
      </c>
      <c r="F2" s="12" t="s">
        <v>44</v>
      </c>
      <c r="G2" s="13" t="s">
        <v>45</v>
      </c>
      <c r="H2" s="13" t="s">
        <v>46</v>
      </c>
      <c r="I2" s="12" t="s">
        <v>47</v>
      </c>
      <c r="J2" s="12" t="s">
        <v>48</v>
      </c>
      <c r="K2" s="12" t="n">
        <v>5</v>
      </c>
      <c r="L2" s="15"/>
      <c r="M2" s="16"/>
    </row>
    <row r="3" customFormat="false" ht="46.25" hidden="false" customHeight="false" outlineLevel="0" collapsed="false">
      <c r="A3" s="12" t="n">
        <v>2</v>
      </c>
      <c r="B3" s="12" t="s">
        <v>40</v>
      </c>
      <c r="C3" s="13" t="s">
        <v>49</v>
      </c>
      <c r="D3" s="14" t="s">
        <v>50</v>
      </c>
      <c r="E3" s="13" t="s">
        <v>51</v>
      </c>
      <c r="F3" s="12" t="s">
        <v>52</v>
      </c>
      <c r="G3" s="13" t="s">
        <v>53</v>
      </c>
      <c r="H3" s="13" t="s">
        <v>54</v>
      </c>
      <c r="I3" s="12" t="s">
        <v>47</v>
      </c>
      <c r="J3" s="12" t="s">
        <v>55</v>
      </c>
      <c r="K3" s="12" t="n">
        <v>5</v>
      </c>
      <c r="L3" s="15"/>
      <c r="M3" s="16"/>
    </row>
    <row r="4" customFormat="false" ht="46.25" hidden="false" customHeight="false" outlineLevel="0" collapsed="false">
      <c r="A4" s="12" t="n">
        <v>3</v>
      </c>
      <c r="B4" s="12" t="s">
        <v>40</v>
      </c>
      <c r="C4" s="13" t="s">
        <v>56</v>
      </c>
      <c r="D4" s="14" t="s">
        <v>57</v>
      </c>
      <c r="E4" s="13" t="s">
        <v>58</v>
      </c>
      <c r="F4" s="12" t="s">
        <v>52</v>
      </c>
      <c r="G4" s="13" t="s">
        <v>59</v>
      </c>
      <c r="H4" s="13" t="s">
        <v>60</v>
      </c>
      <c r="I4" s="12" t="s">
        <v>47</v>
      </c>
      <c r="J4" s="12" t="s">
        <v>48</v>
      </c>
      <c r="K4" s="12" t="n">
        <v>5</v>
      </c>
      <c r="L4" s="15"/>
      <c r="M4" s="16"/>
    </row>
    <row r="5" customFormat="false" ht="35.05" hidden="false" customHeight="false" outlineLevel="0" collapsed="false">
      <c r="A5" s="12" t="n">
        <v>4</v>
      </c>
      <c r="B5" s="12" t="s">
        <v>40</v>
      </c>
      <c r="C5" s="13" t="s">
        <v>61</v>
      </c>
      <c r="D5" s="14" t="s">
        <v>62</v>
      </c>
      <c r="E5" s="13" t="s">
        <v>63</v>
      </c>
      <c r="F5" s="12" t="s">
        <v>52</v>
      </c>
      <c r="G5" s="13" t="s">
        <v>64</v>
      </c>
      <c r="H5" s="13" t="s">
        <v>65</v>
      </c>
      <c r="I5" s="12" t="s">
        <v>47</v>
      </c>
      <c r="J5" s="12" t="s">
        <v>48</v>
      </c>
      <c r="K5" s="12" t="n">
        <v>5</v>
      </c>
      <c r="L5" s="15"/>
      <c r="M5" s="16"/>
    </row>
    <row r="6" customFormat="false" ht="35.05" hidden="false" customHeight="false" outlineLevel="0" collapsed="false">
      <c r="A6" s="12" t="n">
        <v>5</v>
      </c>
      <c r="B6" s="12" t="s">
        <v>40</v>
      </c>
      <c r="C6" s="13" t="s">
        <v>66</v>
      </c>
      <c r="D6" s="14" t="s">
        <v>67</v>
      </c>
      <c r="E6" s="13" t="s">
        <v>68</v>
      </c>
      <c r="F6" s="12" t="s">
        <v>52</v>
      </c>
      <c r="G6" s="13" t="s">
        <v>69</v>
      </c>
      <c r="H6" s="13" t="s">
        <v>70</v>
      </c>
      <c r="I6" s="12" t="s">
        <v>47</v>
      </c>
      <c r="J6" s="12" t="s">
        <v>48</v>
      </c>
      <c r="K6" s="12" t="n">
        <v>5</v>
      </c>
      <c r="L6" s="15"/>
      <c r="M6" s="16"/>
    </row>
    <row r="7" customFormat="false" ht="35.05" hidden="false" customHeight="false" outlineLevel="0" collapsed="false">
      <c r="A7" s="12" t="n">
        <v>6</v>
      </c>
      <c r="B7" s="12" t="s">
        <v>40</v>
      </c>
      <c r="C7" s="13" t="s">
        <v>71</v>
      </c>
      <c r="D7" s="14" t="s">
        <v>72</v>
      </c>
      <c r="E7" s="13" t="s">
        <v>73</v>
      </c>
      <c r="F7" s="12" t="s">
        <v>52</v>
      </c>
      <c r="G7" s="13" t="s">
        <v>74</v>
      </c>
      <c r="H7" s="13" t="s">
        <v>75</v>
      </c>
      <c r="I7" s="12" t="s">
        <v>47</v>
      </c>
      <c r="J7" s="12" t="s">
        <v>55</v>
      </c>
      <c r="K7" s="12" t="n">
        <v>4</v>
      </c>
      <c r="L7" s="15"/>
      <c r="M7" s="16"/>
    </row>
    <row r="8" customFormat="false" ht="35.05" hidden="false" customHeight="false" outlineLevel="0" collapsed="false">
      <c r="A8" s="12" t="n">
        <v>7</v>
      </c>
      <c r="B8" s="12" t="s">
        <v>76</v>
      </c>
      <c r="C8" s="13" t="s">
        <v>77</v>
      </c>
      <c r="D8" s="14" t="s">
        <v>78</v>
      </c>
      <c r="E8" s="13" t="s">
        <v>79</v>
      </c>
      <c r="F8" s="12" t="s">
        <v>44</v>
      </c>
      <c r="G8" s="13" t="s">
        <v>80</v>
      </c>
      <c r="H8" s="13" t="s">
        <v>81</v>
      </c>
      <c r="I8" s="12" t="s">
        <v>47</v>
      </c>
      <c r="J8" s="12" t="s">
        <v>55</v>
      </c>
      <c r="K8" s="12" t="n">
        <v>5</v>
      </c>
      <c r="L8" s="15"/>
      <c r="M8" s="16"/>
    </row>
    <row r="9" customFormat="false" ht="46.25" hidden="false" customHeight="false" outlineLevel="0" collapsed="false">
      <c r="A9" s="12" t="n">
        <v>8</v>
      </c>
      <c r="B9" s="12" t="s">
        <v>76</v>
      </c>
      <c r="C9" s="13" t="s">
        <v>82</v>
      </c>
      <c r="D9" s="14" t="s">
        <v>83</v>
      </c>
      <c r="E9" s="13" t="s">
        <v>84</v>
      </c>
      <c r="F9" s="12" t="s">
        <v>52</v>
      </c>
      <c r="G9" s="13" t="s">
        <v>85</v>
      </c>
      <c r="H9" s="13" t="s">
        <v>86</v>
      </c>
      <c r="I9" s="12" t="s">
        <v>47</v>
      </c>
      <c r="J9" s="12" t="s">
        <v>55</v>
      </c>
      <c r="K9" s="12" t="n">
        <v>4</v>
      </c>
      <c r="L9" s="15"/>
      <c r="M9" s="16"/>
    </row>
    <row r="10" customFormat="false" ht="35.05" hidden="false" customHeight="false" outlineLevel="0" collapsed="false">
      <c r="A10" s="12" t="n">
        <v>9</v>
      </c>
      <c r="B10" s="12" t="s">
        <v>76</v>
      </c>
      <c r="C10" s="13" t="s">
        <v>82</v>
      </c>
      <c r="D10" s="14" t="s">
        <v>87</v>
      </c>
      <c r="E10" s="13" t="s">
        <v>88</v>
      </c>
      <c r="F10" s="12" t="s">
        <v>44</v>
      </c>
      <c r="G10" s="13" t="s">
        <v>89</v>
      </c>
      <c r="H10" s="13" t="s">
        <v>90</v>
      </c>
      <c r="I10" s="12" t="s">
        <v>47</v>
      </c>
      <c r="J10" s="12" t="s">
        <v>55</v>
      </c>
      <c r="K10" s="12" t="n">
        <v>4</v>
      </c>
      <c r="L10" s="15"/>
      <c r="M10" s="16"/>
    </row>
    <row r="11" customFormat="false" ht="35.05" hidden="false" customHeight="false" outlineLevel="0" collapsed="false">
      <c r="A11" s="12" t="n">
        <v>10</v>
      </c>
      <c r="B11" s="12" t="s">
        <v>76</v>
      </c>
      <c r="C11" s="13" t="s">
        <v>91</v>
      </c>
      <c r="D11" s="14" t="s">
        <v>92</v>
      </c>
      <c r="E11" s="13" t="s">
        <v>93</v>
      </c>
      <c r="F11" s="12" t="s">
        <v>44</v>
      </c>
      <c r="G11" s="13" t="s">
        <v>94</v>
      </c>
      <c r="H11" s="13" t="s">
        <v>95</v>
      </c>
      <c r="I11" s="12" t="s">
        <v>47</v>
      </c>
      <c r="J11" s="12" t="s">
        <v>48</v>
      </c>
      <c r="K11" s="12" t="n">
        <v>4</v>
      </c>
      <c r="L11" s="15"/>
      <c r="M11" s="16"/>
    </row>
    <row r="12" customFormat="false" ht="35.05" hidden="false" customHeight="false" outlineLevel="0" collapsed="false">
      <c r="A12" s="12" t="n">
        <v>11</v>
      </c>
      <c r="B12" s="12" t="s">
        <v>76</v>
      </c>
      <c r="C12" s="13" t="s">
        <v>96</v>
      </c>
      <c r="D12" s="14" t="s">
        <v>97</v>
      </c>
      <c r="E12" s="13" t="s">
        <v>98</v>
      </c>
      <c r="F12" s="12" t="s">
        <v>44</v>
      </c>
      <c r="G12" s="13" t="s">
        <v>99</v>
      </c>
      <c r="H12" s="13" t="s">
        <v>100</v>
      </c>
      <c r="I12" s="12" t="s">
        <v>47</v>
      </c>
      <c r="J12" s="12" t="s">
        <v>48</v>
      </c>
      <c r="K12" s="12" t="n">
        <v>4</v>
      </c>
      <c r="L12" s="15"/>
      <c r="M12" s="16"/>
    </row>
    <row r="13" customFormat="false" ht="35.05" hidden="false" customHeight="false" outlineLevel="0" collapsed="false">
      <c r="A13" s="12" t="n">
        <v>12</v>
      </c>
      <c r="B13" s="12" t="s">
        <v>76</v>
      </c>
      <c r="C13" s="13" t="s">
        <v>101</v>
      </c>
      <c r="D13" s="14" t="s">
        <v>102</v>
      </c>
      <c r="E13" s="13" t="s">
        <v>103</v>
      </c>
      <c r="F13" s="12" t="s">
        <v>52</v>
      </c>
      <c r="G13" s="13" t="s">
        <v>104</v>
      </c>
      <c r="H13" s="13" t="s">
        <v>105</v>
      </c>
      <c r="I13" s="12" t="s">
        <v>47</v>
      </c>
      <c r="J13" s="12" t="s">
        <v>48</v>
      </c>
      <c r="K13" s="12" t="n">
        <v>4</v>
      </c>
      <c r="L13" s="15"/>
      <c r="M13" s="16"/>
    </row>
    <row r="14" customFormat="false" ht="35.05" hidden="false" customHeight="false" outlineLevel="0" collapsed="false">
      <c r="A14" s="12" t="n">
        <v>13</v>
      </c>
      <c r="B14" s="12" t="s">
        <v>76</v>
      </c>
      <c r="C14" s="13" t="s">
        <v>106</v>
      </c>
      <c r="D14" s="14" t="s">
        <v>107</v>
      </c>
      <c r="E14" s="13" t="s">
        <v>108</v>
      </c>
      <c r="F14" s="12" t="s">
        <v>52</v>
      </c>
      <c r="G14" s="13" t="s">
        <v>109</v>
      </c>
      <c r="H14" s="13" t="s">
        <v>110</v>
      </c>
      <c r="I14" s="12" t="s">
        <v>47</v>
      </c>
      <c r="J14" s="12" t="s">
        <v>55</v>
      </c>
      <c r="K14" s="12" t="n">
        <v>4</v>
      </c>
      <c r="L14" s="15"/>
      <c r="M14" s="16"/>
    </row>
    <row r="15" customFormat="false" ht="46.25" hidden="false" customHeight="false" outlineLevel="0" collapsed="false">
      <c r="A15" s="12" t="n">
        <v>14</v>
      </c>
      <c r="B15" s="12" t="s">
        <v>76</v>
      </c>
      <c r="C15" s="13" t="s">
        <v>111</v>
      </c>
      <c r="D15" s="14" t="s">
        <v>112</v>
      </c>
      <c r="E15" s="13" t="s">
        <v>113</v>
      </c>
      <c r="F15" s="12" t="s">
        <v>52</v>
      </c>
      <c r="G15" s="13" t="s">
        <v>114</v>
      </c>
      <c r="H15" s="13" t="s">
        <v>115</v>
      </c>
      <c r="I15" s="12" t="s">
        <v>6</v>
      </c>
      <c r="J15" s="12" t="s">
        <v>55</v>
      </c>
      <c r="K15" s="12" t="n">
        <v>4</v>
      </c>
      <c r="L15" s="15"/>
      <c r="M15" s="16"/>
    </row>
    <row r="16" customFormat="false" ht="23.85" hidden="false" customHeight="false" outlineLevel="0" collapsed="false">
      <c r="A16" s="12" t="n">
        <v>15</v>
      </c>
      <c r="B16" s="12" t="s">
        <v>76</v>
      </c>
      <c r="C16" s="13" t="s">
        <v>116</v>
      </c>
      <c r="D16" s="14" t="s">
        <v>117</v>
      </c>
      <c r="E16" s="13" t="s">
        <v>118</v>
      </c>
      <c r="F16" s="12" t="s">
        <v>44</v>
      </c>
      <c r="G16" s="13" t="s">
        <v>119</v>
      </c>
      <c r="H16" s="13" t="s">
        <v>120</v>
      </c>
      <c r="I16" s="12" t="s">
        <v>47</v>
      </c>
      <c r="J16" s="12" t="s">
        <v>48</v>
      </c>
      <c r="K16" s="12" t="n">
        <v>4</v>
      </c>
      <c r="L16" s="15"/>
      <c r="M16" s="16"/>
    </row>
    <row r="17" customFormat="false" ht="23.85" hidden="false" customHeight="false" outlineLevel="0" collapsed="false">
      <c r="A17" s="12" t="n">
        <v>16</v>
      </c>
      <c r="B17" s="12" t="s">
        <v>76</v>
      </c>
      <c r="C17" s="13" t="s">
        <v>116</v>
      </c>
      <c r="D17" s="14" t="s">
        <v>121</v>
      </c>
      <c r="E17" s="13" t="s">
        <v>122</v>
      </c>
      <c r="F17" s="12" t="s">
        <v>44</v>
      </c>
      <c r="G17" s="13" t="s">
        <v>123</v>
      </c>
      <c r="H17" s="13" t="s">
        <v>124</v>
      </c>
      <c r="I17" s="12" t="s">
        <v>47</v>
      </c>
      <c r="J17" s="12" t="s">
        <v>55</v>
      </c>
      <c r="K17" s="12" t="n">
        <v>4</v>
      </c>
      <c r="L17" s="15"/>
      <c r="M17" s="16"/>
    </row>
    <row r="18" customFormat="false" ht="23.85" hidden="false" customHeight="false" outlineLevel="0" collapsed="false">
      <c r="A18" s="12" t="n">
        <v>17</v>
      </c>
      <c r="B18" s="12" t="s">
        <v>76</v>
      </c>
      <c r="C18" s="13" t="s">
        <v>125</v>
      </c>
      <c r="D18" s="14" t="s">
        <v>126</v>
      </c>
      <c r="E18" s="13" t="s">
        <v>127</v>
      </c>
      <c r="F18" s="12" t="s">
        <v>128</v>
      </c>
      <c r="G18" s="13" t="s">
        <v>129</v>
      </c>
      <c r="H18" s="13" t="s">
        <v>130</v>
      </c>
      <c r="I18" s="12" t="s">
        <v>6</v>
      </c>
      <c r="J18" s="12" t="s">
        <v>55</v>
      </c>
      <c r="K18" s="12" t="n">
        <v>4</v>
      </c>
      <c r="L18" s="15"/>
      <c r="M18" s="16"/>
    </row>
    <row r="19" customFormat="false" ht="35.05" hidden="false" customHeight="false" outlineLevel="0" collapsed="false">
      <c r="A19" s="12" t="n">
        <v>18</v>
      </c>
      <c r="B19" s="12" t="s">
        <v>76</v>
      </c>
      <c r="C19" s="13" t="s">
        <v>131</v>
      </c>
      <c r="D19" s="14" t="s">
        <v>132</v>
      </c>
      <c r="E19" s="13" t="s">
        <v>133</v>
      </c>
      <c r="F19" s="12" t="s">
        <v>52</v>
      </c>
      <c r="G19" s="13" t="s">
        <v>134</v>
      </c>
      <c r="H19" s="13" t="s">
        <v>135</v>
      </c>
      <c r="I19" s="12" t="s">
        <v>6</v>
      </c>
      <c r="J19" s="12" t="s">
        <v>55</v>
      </c>
      <c r="K19" s="12" t="n">
        <v>4</v>
      </c>
      <c r="L19" s="15"/>
      <c r="M19" s="16"/>
    </row>
    <row r="20" customFormat="false" ht="23.85" hidden="false" customHeight="false" outlineLevel="0" collapsed="false">
      <c r="A20" s="12" t="n">
        <v>19</v>
      </c>
      <c r="B20" s="12" t="s">
        <v>136</v>
      </c>
      <c r="C20" s="13" t="s">
        <v>137</v>
      </c>
      <c r="D20" s="14" t="s">
        <v>138</v>
      </c>
      <c r="E20" s="13" t="s">
        <v>139</v>
      </c>
      <c r="F20" s="12" t="s">
        <v>44</v>
      </c>
      <c r="G20" s="13" t="s">
        <v>140</v>
      </c>
      <c r="H20" s="13" t="s">
        <v>141</v>
      </c>
      <c r="I20" s="12" t="s">
        <v>47</v>
      </c>
      <c r="J20" s="12" t="s">
        <v>48</v>
      </c>
      <c r="K20" s="12" t="n">
        <v>3</v>
      </c>
      <c r="L20" s="15"/>
      <c r="M20" s="16"/>
    </row>
    <row r="21" customFormat="false" ht="35.05" hidden="false" customHeight="false" outlineLevel="0" collapsed="false">
      <c r="A21" s="12" t="n">
        <v>20</v>
      </c>
      <c r="B21" s="12" t="s">
        <v>136</v>
      </c>
      <c r="C21" s="13" t="s">
        <v>142</v>
      </c>
      <c r="D21" s="14" t="s">
        <v>143</v>
      </c>
      <c r="E21" s="13" t="s">
        <v>144</v>
      </c>
      <c r="F21" s="12" t="s">
        <v>52</v>
      </c>
      <c r="G21" s="13" t="s">
        <v>145</v>
      </c>
      <c r="H21" s="13" t="s">
        <v>146</v>
      </c>
      <c r="I21" s="12" t="s">
        <v>47</v>
      </c>
      <c r="J21" s="12" t="s">
        <v>55</v>
      </c>
      <c r="K21" s="12" t="n">
        <v>3</v>
      </c>
      <c r="L21" s="15"/>
      <c r="M21" s="16"/>
    </row>
    <row r="22" customFormat="false" ht="35.05" hidden="false" customHeight="false" outlineLevel="0" collapsed="false">
      <c r="A22" s="12" t="n">
        <v>21</v>
      </c>
      <c r="B22" s="12" t="s">
        <v>136</v>
      </c>
      <c r="C22" s="13" t="s">
        <v>147</v>
      </c>
      <c r="D22" s="14" t="s">
        <v>148</v>
      </c>
      <c r="E22" s="13" t="s">
        <v>149</v>
      </c>
      <c r="F22" s="12" t="s">
        <v>52</v>
      </c>
      <c r="G22" s="13" t="s">
        <v>150</v>
      </c>
      <c r="H22" s="13" t="s">
        <v>151</v>
      </c>
      <c r="I22" s="12" t="s">
        <v>47</v>
      </c>
      <c r="J22" s="12" t="s">
        <v>55</v>
      </c>
      <c r="K22" s="12" t="n">
        <v>3</v>
      </c>
      <c r="L22" s="15"/>
      <c r="M22" s="16"/>
    </row>
    <row r="23" customFormat="false" ht="23.85" hidden="false" customHeight="false" outlineLevel="0" collapsed="false">
      <c r="A23" s="12" t="n">
        <v>22</v>
      </c>
      <c r="B23" s="12" t="s">
        <v>136</v>
      </c>
      <c r="C23" s="13" t="s">
        <v>152</v>
      </c>
      <c r="D23" s="14" t="s">
        <v>153</v>
      </c>
      <c r="E23" s="13" t="s">
        <v>154</v>
      </c>
      <c r="F23" s="12" t="s">
        <v>52</v>
      </c>
      <c r="G23" s="13" t="s">
        <v>155</v>
      </c>
      <c r="H23" s="13" t="s">
        <v>156</v>
      </c>
      <c r="I23" s="12" t="s">
        <v>47</v>
      </c>
      <c r="J23" s="12" t="s">
        <v>55</v>
      </c>
      <c r="K23" s="12" t="n">
        <v>3</v>
      </c>
      <c r="L23" s="15"/>
      <c r="M23" s="16"/>
    </row>
    <row r="24" customFormat="false" ht="23.85" hidden="false" customHeight="false" outlineLevel="0" collapsed="false">
      <c r="A24" s="12" t="n">
        <v>23</v>
      </c>
      <c r="B24" s="12" t="s">
        <v>136</v>
      </c>
      <c r="C24" s="13" t="s">
        <v>157</v>
      </c>
      <c r="D24" s="14" t="s">
        <v>158</v>
      </c>
      <c r="E24" s="13" t="s">
        <v>159</v>
      </c>
      <c r="F24" s="12" t="s">
        <v>44</v>
      </c>
      <c r="G24" s="13" t="s">
        <v>160</v>
      </c>
      <c r="H24" s="13" t="s">
        <v>161</v>
      </c>
      <c r="I24" s="12" t="s">
        <v>47</v>
      </c>
      <c r="J24" s="12" t="s">
        <v>55</v>
      </c>
      <c r="K24" s="12" t="n">
        <v>3</v>
      </c>
      <c r="L24" s="15"/>
      <c r="M24" s="16"/>
    </row>
    <row r="25" customFormat="false" ht="35.05" hidden="false" customHeight="false" outlineLevel="0" collapsed="false">
      <c r="A25" s="12" t="n">
        <v>24</v>
      </c>
      <c r="B25" s="12" t="s">
        <v>136</v>
      </c>
      <c r="C25" s="13" t="s">
        <v>162</v>
      </c>
      <c r="D25" s="14" t="s">
        <v>163</v>
      </c>
      <c r="E25" s="13" t="s">
        <v>164</v>
      </c>
      <c r="F25" s="12" t="s">
        <v>44</v>
      </c>
      <c r="G25" s="13" t="s">
        <v>165</v>
      </c>
      <c r="H25" s="13" t="s">
        <v>166</v>
      </c>
      <c r="I25" s="12" t="s">
        <v>6</v>
      </c>
      <c r="J25" s="12" t="s">
        <v>48</v>
      </c>
      <c r="K25" s="12" t="n">
        <v>3</v>
      </c>
      <c r="L25" s="15"/>
      <c r="M25" s="16"/>
    </row>
    <row r="26" customFormat="false" ht="23.85" hidden="false" customHeight="false" outlineLevel="0" collapsed="false">
      <c r="A26" s="12" t="n">
        <v>25</v>
      </c>
      <c r="B26" s="12" t="s">
        <v>136</v>
      </c>
      <c r="C26" s="13" t="s">
        <v>167</v>
      </c>
      <c r="D26" s="14" t="s">
        <v>168</v>
      </c>
      <c r="E26" s="13" t="s">
        <v>169</v>
      </c>
      <c r="F26" s="12" t="s">
        <v>44</v>
      </c>
      <c r="G26" s="13" t="s">
        <v>170</v>
      </c>
      <c r="H26" s="13" t="s">
        <v>171</v>
      </c>
      <c r="I26" s="12" t="s">
        <v>6</v>
      </c>
      <c r="J26" s="12" t="s">
        <v>48</v>
      </c>
      <c r="K26" s="12" t="n">
        <v>3</v>
      </c>
      <c r="L26" s="15"/>
      <c r="M26" s="16"/>
    </row>
    <row r="27" customFormat="false" ht="35.05" hidden="false" customHeight="false" outlineLevel="0" collapsed="false">
      <c r="A27" s="12" t="n">
        <v>26</v>
      </c>
      <c r="B27" s="12" t="s">
        <v>136</v>
      </c>
      <c r="C27" s="13" t="s">
        <v>172</v>
      </c>
      <c r="D27" s="14" t="s">
        <v>173</v>
      </c>
      <c r="E27" s="13" t="s">
        <v>174</v>
      </c>
      <c r="F27" s="12" t="s">
        <v>52</v>
      </c>
      <c r="G27" s="13" t="s">
        <v>175</v>
      </c>
      <c r="H27" s="13" t="s">
        <v>176</v>
      </c>
      <c r="I27" s="12" t="s">
        <v>6</v>
      </c>
      <c r="J27" s="12" t="s">
        <v>55</v>
      </c>
      <c r="K27" s="12" t="n">
        <v>3</v>
      </c>
      <c r="L27" s="15"/>
      <c r="M27" s="16"/>
    </row>
    <row r="28" customFormat="false" ht="23.85" hidden="false" customHeight="false" outlineLevel="0" collapsed="false">
      <c r="A28" s="12" t="n">
        <v>27</v>
      </c>
      <c r="B28" s="12" t="s">
        <v>136</v>
      </c>
      <c r="C28" s="13" t="s">
        <v>177</v>
      </c>
      <c r="D28" s="14" t="s">
        <v>178</v>
      </c>
      <c r="E28" s="13" t="s">
        <v>179</v>
      </c>
      <c r="F28" s="12" t="s">
        <v>44</v>
      </c>
      <c r="G28" s="13" t="s">
        <v>180</v>
      </c>
      <c r="H28" s="13" t="s">
        <v>181</v>
      </c>
      <c r="I28" s="12" t="s">
        <v>47</v>
      </c>
      <c r="J28" s="12" t="s">
        <v>55</v>
      </c>
      <c r="K28" s="12" t="n">
        <v>3</v>
      </c>
      <c r="L28" s="15"/>
      <c r="M28" s="16"/>
    </row>
    <row r="29" customFormat="false" ht="23.85" hidden="false" customHeight="false" outlineLevel="0" collapsed="false">
      <c r="A29" s="12" t="n">
        <v>28</v>
      </c>
      <c r="B29" s="12" t="s">
        <v>136</v>
      </c>
      <c r="C29" s="13" t="s">
        <v>182</v>
      </c>
      <c r="D29" s="14" t="s">
        <v>183</v>
      </c>
      <c r="E29" s="13" t="s">
        <v>184</v>
      </c>
      <c r="F29" s="12" t="s">
        <v>44</v>
      </c>
      <c r="G29" s="13" t="s">
        <v>185</v>
      </c>
      <c r="H29" s="13" t="s">
        <v>186</v>
      </c>
      <c r="I29" s="12" t="s">
        <v>6</v>
      </c>
      <c r="J29" s="12" t="s">
        <v>187</v>
      </c>
      <c r="K29" s="12" t="n">
        <v>3</v>
      </c>
      <c r="L29" s="15"/>
      <c r="M29" s="16"/>
    </row>
    <row r="30" customFormat="false" ht="23.85" hidden="false" customHeight="false" outlineLevel="0" collapsed="false">
      <c r="A30" s="12" t="n">
        <v>29</v>
      </c>
      <c r="B30" s="12" t="s">
        <v>136</v>
      </c>
      <c r="C30" s="13" t="s">
        <v>188</v>
      </c>
      <c r="D30" s="14" t="s">
        <v>189</v>
      </c>
      <c r="E30" s="13" t="s">
        <v>190</v>
      </c>
      <c r="F30" s="12" t="s">
        <v>44</v>
      </c>
      <c r="G30" s="13" t="s">
        <v>191</v>
      </c>
      <c r="H30" s="13" t="s">
        <v>192</v>
      </c>
      <c r="I30" s="12" t="s">
        <v>47</v>
      </c>
      <c r="J30" s="12" t="s">
        <v>55</v>
      </c>
      <c r="K30" s="12" t="n">
        <v>2</v>
      </c>
      <c r="L30" s="15"/>
      <c r="M30" s="16"/>
    </row>
    <row r="31" customFormat="false" ht="35.05" hidden="false" customHeight="false" outlineLevel="0" collapsed="false">
      <c r="A31" s="12" t="n">
        <v>30</v>
      </c>
      <c r="B31" s="12" t="s">
        <v>136</v>
      </c>
      <c r="C31" s="13" t="s">
        <v>193</v>
      </c>
      <c r="D31" s="14" t="s">
        <v>194</v>
      </c>
      <c r="E31" s="13" t="s">
        <v>195</v>
      </c>
      <c r="F31" s="12" t="s">
        <v>52</v>
      </c>
      <c r="G31" s="13" t="s">
        <v>196</v>
      </c>
      <c r="H31" s="13" t="s">
        <v>197</v>
      </c>
      <c r="I31" s="12" t="s">
        <v>6</v>
      </c>
      <c r="J31" s="12" t="s">
        <v>55</v>
      </c>
      <c r="K31" s="12" t="n">
        <v>2</v>
      </c>
      <c r="L31" s="15"/>
      <c r="M31" s="16"/>
    </row>
    <row r="32" customFormat="false" ht="23.85" hidden="false" customHeight="false" outlineLevel="0" collapsed="false">
      <c r="A32" s="12" t="n">
        <v>31</v>
      </c>
      <c r="B32" s="12" t="s">
        <v>136</v>
      </c>
      <c r="C32" s="13" t="s">
        <v>198</v>
      </c>
      <c r="D32" s="14" t="s">
        <v>199</v>
      </c>
      <c r="E32" s="13" t="s">
        <v>200</v>
      </c>
      <c r="F32" s="12" t="s">
        <v>52</v>
      </c>
      <c r="G32" s="13" t="s">
        <v>201</v>
      </c>
      <c r="H32" s="13" t="s">
        <v>202</v>
      </c>
      <c r="I32" s="12" t="s">
        <v>6</v>
      </c>
      <c r="J32" s="12" t="s">
        <v>55</v>
      </c>
      <c r="K32" s="12" t="n">
        <v>2</v>
      </c>
      <c r="L32" s="15"/>
      <c r="M32" s="16"/>
    </row>
    <row r="33" customFormat="false" ht="23.85" hidden="false" customHeight="false" outlineLevel="0" collapsed="false">
      <c r="A33" s="12" t="n">
        <v>32</v>
      </c>
      <c r="B33" s="12" t="s">
        <v>136</v>
      </c>
      <c r="C33" s="13" t="s">
        <v>203</v>
      </c>
      <c r="D33" s="14" t="s">
        <v>204</v>
      </c>
      <c r="E33" s="13" t="s">
        <v>205</v>
      </c>
      <c r="F33" s="12" t="s">
        <v>52</v>
      </c>
      <c r="G33" s="13" t="s">
        <v>206</v>
      </c>
      <c r="H33" s="13" t="s">
        <v>207</v>
      </c>
      <c r="I33" s="12" t="s">
        <v>47</v>
      </c>
      <c r="J33" s="12" t="s">
        <v>55</v>
      </c>
      <c r="K33" s="12" t="n">
        <v>2</v>
      </c>
      <c r="L33" s="15"/>
      <c r="M33" s="16"/>
    </row>
    <row r="34" customFormat="false" ht="23.85" hidden="false" customHeight="false" outlineLevel="0" collapsed="false">
      <c r="A34" s="12" t="n">
        <v>33</v>
      </c>
      <c r="B34" s="12" t="s">
        <v>136</v>
      </c>
      <c r="C34" s="13" t="s">
        <v>208</v>
      </c>
      <c r="D34" s="14" t="s">
        <v>209</v>
      </c>
      <c r="E34" s="13" t="s">
        <v>210</v>
      </c>
      <c r="F34" s="12" t="s">
        <v>44</v>
      </c>
      <c r="G34" s="13" t="s">
        <v>211</v>
      </c>
      <c r="H34" s="13" t="s">
        <v>212</v>
      </c>
      <c r="I34" s="12" t="s">
        <v>213</v>
      </c>
      <c r="J34" s="12" t="s">
        <v>55</v>
      </c>
      <c r="K34" s="12" t="n">
        <v>2</v>
      </c>
      <c r="L34" s="15"/>
      <c r="M34" s="16"/>
    </row>
    <row r="35" customFormat="false" ht="23.85" hidden="false" customHeight="false" outlineLevel="0" collapsed="false">
      <c r="A35" s="12" t="n">
        <v>34</v>
      </c>
      <c r="B35" s="12" t="s">
        <v>214</v>
      </c>
      <c r="C35" s="13" t="s">
        <v>215</v>
      </c>
      <c r="D35" s="14" t="s">
        <v>216</v>
      </c>
      <c r="E35" s="13" t="s">
        <v>217</v>
      </c>
      <c r="F35" s="12" t="s">
        <v>52</v>
      </c>
      <c r="G35" s="13" t="s">
        <v>218</v>
      </c>
      <c r="H35" s="13" t="s">
        <v>219</v>
      </c>
      <c r="I35" s="12" t="s">
        <v>6</v>
      </c>
      <c r="J35" s="12" t="s">
        <v>55</v>
      </c>
      <c r="K35" s="12" t="n">
        <v>2</v>
      </c>
      <c r="L35" s="15"/>
      <c r="M35" s="16"/>
    </row>
    <row r="36" customFormat="false" ht="23.85" hidden="false" customHeight="false" outlineLevel="0" collapsed="false">
      <c r="A36" s="12" t="n">
        <v>35</v>
      </c>
      <c r="B36" s="12" t="s">
        <v>214</v>
      </c>
      <c r="C36" s="13" t="s">
        <v>220</v>
      </c>
      <c r="D36" s="14" t="s">
        <v>221</v>
      </c>
      <c r="E36" s="13" t="s">
        <v>222</v>
      </c>
      <c r="F36" s="12" t="s">
        <v>52</v>
      </c>
      <c r="G36" s="13" t="s">
        <v>223</v>
      </c>
      <c r="H36" s="13" t="s">
        <v>224</v>
      </c>
      <c r="I36" s="12" t="s">
        <v>6</v>
      </c>
      <c r="J36" s="12" t="s">
        <v>48</v>
      </c>
      <c r="K36" s="12" t="n">
        <v>2</v>
      </c>
      <c r="L36" s="15"/>
      <c r="M36" s="16"/>
    </row>
    <row r="37" customFormat="false" ht="23.85" hidden="false" customHeight="false" outlineLevel="0" collapsed="false">
      <c r="A37" s="12" t="n">
        <v>36</v>
      </c>
      <c r="B37" s="12" t="s">
        <v>214</v>
      </c>
      <c r="C37" s="13" t="s">
        <v>225</v>
      </c>
      <c r="D37" s="14" t="s">
        <v>226</v>
      </c>
      <c r="E37" s="13" t="s">
        <v>227</v>
      </c>
      <c r="F37" s="12" t="s">
        <v>128</v>
      </c>
      <c r="G37" s="13" t="s">
        <v>228</v>
      </c>
      <c r="H37" s="13" t="s">
        <v>229</v>
      </c>
      <c r="I37" s="12" t="s">
        <v>6</v>
      </c>
      <c r="J37" s="12" t="s">
        <v>48</v>
      </c>
      <c r="K37" s="12" t="n">
        <v>1</v>
      </c>
      <c r="L37" s="15"/>
      <c r="M37" s="16"/>
    </row>
    <row r="38" customFormat="false" ht="23.85" hidden="false" customHeight="false" outlineLevel="0" collapsed="false">
      <c r="A38" s="12" t="n">
        <v>37</v>
      </c>
      <c r="B38" s="12" t="s">
        <v>214</v>
      </c>
      <c r="C38" s="13" t="s">
        <v>230</v>
      </c>
      <c r="D38" s="14" t="s">
        <v>231</v>
      </c>
      <c r="E38" s="13" t="s">
        <v>232</v>
      </c>
      <c r="F38" s="12" t="s">
        <v>44</v>
      </c>
      <c r="G38" s="13" t="s">
        <v>233</v>
      </c>
      <c r="H38" s="13" t="s">
        <v>234</v>
      </c>
      <c r="I38" s="12" t="s">
        <v>213</v>
      </c>
      <c r="J38" s="12" t="s">
        <v>48</v>
      </c>
      <c r="K38" s="12" t="n">
        <v>1</v>
      </c>
      <c r="L38" s="15"/>
      <c r="M38" s="16"/>
    </row>
    <row r="39" customFormat="false" ht="23.85" hidden="false" customHeight="false" outlineLevel="0" collapsed="false">
      <c r="A39" s="12" t="n">
        <v>38</v>
      </c>
      <c r="B39" s="12" t="s">
        <v>214</v>
      </c>
      <c r="C39" s="13" t="s">
        <v>235</v>
      </c>
      <c r="D39" s="14" t="s">
        <v>236</v>
      </c>
      <c r="E39" s="13" t="s">
        <v>237</v>
      </c>
      <c r="F39" s="12" t="s">
        <v>52</v>
      </c>
      <c r="G39" s="13" t="s">
        <v>238</v>
      </c>
      <c r="H39" s="13" t="s">
        <v>239</v>
      </c>
      <c r="I39" s="12" t="s">
        <v>213</v>
      </c>
      <c r="J39" s="12" t="s">
        <v>55</v>
      </c>
      <c r="K39" s="12" t="n">
        <v>1</v>
      </c>
      <c r="L39" s="15"/>
      <c r="M39" s="16"/>
    </row>
    <row r="40" customFormat="false" ht="15" hidden="false" customHeight="false" outlineLevel="0" collapsed="false">
      <c r="A40" s="12" t="n">
        <v>39</v>
      </c>
      <c r="B40" s="12" t="s">
        <v>214</v>
      </c>
      <c r="C40" s="13" t="s">
        <v>240</v>
      </c>
      <c r="D40" s="14" t="s">
        <v>241</v>
      </c>
      <c r="E40" s="13" t="s">
        <v>242</v>
      </c>
      <c r="F40" s="12" t="s">
        <v>44</v>
      </c>
      <c r="G40" s="13" t="s">
        <v>243</v>
      </c>
      <c r="H40" s="13" t="s">
        <v>244</v>
      </c>
      <c r="I40" s="12" t="s">
        <v>245</v>
      </c>
      <c r="J40" s="12" t="s">
        <v>187</v>
      </c>
      <c r="K40" s="12" t="n">
        <v>1</v>
      </c>
      <c r="L40" s="15"/>
      <c r="M40" s="16"/>
    </row>
  </sheetData>
  <autoFilter ref="A1:M40"/>
  <conditionalFormatting sqref="B2:B40">
    <cfRule type="cellIs" priority="2" operator="equal" aboveAverage="0" equalAverage="0" bottom="0" percent="0" rank="0" text="" dxfId="8">
      <formula>"P0"</formula>
    </cfRule>
    <cfRule type="cellIs" priority="3" operator="equal" aboveAverage="0" equalAverage="0" bottom="0" percent="0" rank="0" text="" dxfId="9">
      <formula>"P1"</formula>
    </cfRule>
    <cfRule type="cellIs" priority="4" operator="equal" aboveAverage="0" equalAverage="0" bottom="0" percent="0" rank="0" text="" dxfId="10">
      <formula>"P2"</formula>
    </cfRule>
    <cfRule type="cellIs" priority="5" operator="equal" aboveAverage="0" equalAverage="0" bottom="0" percent="0" rank="0" text="" dxfId="11">
      <formula>"P3"</formula>
    </cfRule>
  </conditionalFormatting>
  <dataValidations count="1">
    <dataValidation allowBlank="true" errorStyle="stop" operator="between" showDropDown="false" showErrorMessage="false" showInputMessage="false" sqref="L2:L40" type="list">
      <formula1>"Add now,Add later,Explain only,No"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23A"/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7" t="s">
        <v>29</v>
      </c>
      <c r="B1" s="17" t="s">
        <v>246</v>
      </c>
    </row>
    <row r="2" customFormat="false" ht="23.85" hidden="false" customHeight="false" outlineLevel="0" collapsed="false">
      <c r="A2" s="14" t="s">
        <v>247</v>
      </c>
      <c r="B2" s="13" t="s">
        <v>248</v>
      </c>
    </row>
    <row r="3" customFormat="false" ht="15" hidden="false" customHeight="false" outlineLevel="0" collapsed="false">
      <c r="A3" s="14" t="s">
        <v>249</v>
      </c>
      <c r="B3" s="13" t="s">
        <v>250</v>
      </c>
    </row>
    <row r="4" customFormat="false" ht="15" hidden="false" customHeight="false" outlineLevel="0" collapsed="false">
      <c r="A4" s="14" t="s">
        <v>251</v>
      </c>
      <c r="B4" s="13" t="s">
        <v>252</v>
      </c>
    </row>
    <row r="5" customFormat="false" ht="15" hidden="false" customHeight="false" outlineLevel="0" collapsed="false">
      <c r="A5" s="14" t="s">
        <v>253</v>
      </c>
      <c r="B5" s="13" t="s">
        <v>254</v>
      </c>
    </row>
    <row r="6" customFormat="false" ht="15" hidden="false" customHeight="false" outlineLevel="0" collapsed="false">
      <c r="A6" s="14" t="s">
        <v>255</v>
      </c>
      <c r="B6" s="13" t="s">
        <v>256</v>
      </c>
    </row>
    <row r="7" customFormat="false" ht="15" hidden="false" customHeight="false" outlineLevel="0" collapsed="false">
      <c r="A7" s="14" t="s">
        <v>257</v>
      </c>
      <c r="B7" s="13" t="s">
        <v>258</v>
      </c>
    </row>
    <row r="8" customFormat="false" ht="23.85" hidden="false" customHeight="false" outlineLevel="0" collapsed="false">
      <c r="A8" s="14" t="s">
        <v>259</v>
      </c>
      <c r="B8" s="13" t="s">
        <v>260</v>
      </c>
    </row>
    <row r="9" customFormat="false" ht="15" hidden="false" customHeight="false" outlineLevel="0" collapsed="false">
      <c r="A9" s="14" t="s">
        <v>261</v>
      </c>
      <c r="B9" s="13" t="s">
        <v>262</v>
      </c>
    </row>
    <row r="10" customFormat="false" ht="23.85" hidden="false" customHeight="false" outlineLevel="0" collapsed="false">
      <c r="A10" s="14" t="s">
        <v>193</v>
      </c>
      <c r="B10" s="13" t="s">
        <v>263</v>
      </c>
    </row>
    <row r="11" customFormat="false" ht="15" hidden="false" customHeight="false" outlineLevel="0" collapsed="false">
      <c r="A11" s="14" t="s">
        <v>264</v>
      </c>
      <c r="B11" s="13" t="s">
        <v>265</v>
      </c>
    </row>
    <row r="12" customFormat="false" ht="15" hidden="false" customHeight="false" outlineLevel="0" collapsed="false">
      <c r="A12" s="14" t="s">
        <v>266</v>
      </c>
      <c r="B12" s="13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2026-10-04T13:46:29Z</dcterms:created>
  <dc:creator>openpyxl</dc:creator>
  <dc:description/>
  <dc:language>en-US</dc:language>
  <cp:lastModifiedBy/>
  <dcterms:modified xsi:type="dcterms:W3CDTF">2026-10-04T13:46:29Z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