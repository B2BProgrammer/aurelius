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mponents" sheetId="2" state="visible" r:id="rId4"/>
    <sheet name="Request flows" sheetId="3" state="visible" r:id="rId5"/>
    <sheet name="Concepts" sheetId="4" state="visible" r:id="rId6"/>
    <sheet name="Files" sheetId="5" state="visible" r:id="rId7"/>
  </sheets>
  <definedNames>
    <definedName function="false" hidden="true" localSheetId="4" name="_xlnm._FilterDatabase" vbProcedure="false">Files!$A$1:$K$424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<sst xmlns="http://schemas.openxmlformats.org/spreadsheetml/2006/main" count="3811" uniqueCount="1898">
  <si>
    <t xml:space="preserve">Aurelius code map</t>
  </si>
  <si>
    <t xml:space="preserve">Every file in the project: what it does, how it connects, and how to explain it.</t>
  </si>
  <si>
    <t xml:space="preserve">Your progress</t>
  </si>
  <si>
    <t xml:space="preserve">Files in the map</t>
  </si>
  <si>
    <t xml:space="preserve">Must-read files (priority 1)</t>
  </si>
  <si>
    <t xml:space="preserve">Files you've marked as read</t>
  </si>
  <si>
    <t xml:space="preserve">Must-read files you've read</t>
  </si>
  <si>
    <t xml:space="preserve">Must-read progress</t>
  </si>
  <si>
    <t xml:space="preserve">How to use this workbook</t>
  </si>
  <si>
    <t xml:space="preserve">Start here</t>
  </si>
  <si>
    <t xml:space="preserve">This page: progress and a suggested reading order.</t>
  </si>
  <si>
    <t xml:space="preserve">Components</t>
  </si>
  <si>
    <t xml:space="preserve">One row per agent or app: language, port, what it does, its skills, who it talks to, and how many files it has.</t>
  </si>
  <si>
    <t xml:space="preserve">Files</t>
  </si>
  <si>
    <t xml:space="preserve">One row per file. Filter by Component, Category or Priority. Mark the yellow column Yes as you finish a file; the progress above updates.</t>
  </si>
  <si>
    <t xml:space="preserve">Request flows</t>
  </si>
  <si>
    <t xml:space="preserve">Five real requests followed file by file across languages. The fastest way to see how it fits together.</t>
  </si>
  <si>
    <t xml:space="preserve">Concepts</t>
  </si>
  <si>
    <t xml:space="preserve">The ideas that repeat across the system (contract, tokens, trace IDs, MCP, RAG, SSE...) and where each lives.</t>
  </si>
  <si>
    <t xml:space="preserve">Priority</t>
  </si>
  <si>
    <t xml:space="preserve">1 = must read (entry points, core logic, contracts), 2 = useful, 3 = boilerplate, data or docs.</t>
  </si>
  <si>
    <t xml:space="preserve">Suggested reading order</t>
  </si>
  <si>
    <t xml:space="preserve">1. The shape</t>
  </si>
  <si>
    <t xml:space="preserve">Components sheet top to bottom, then Request flow 2 (open a household). You'll see every agent once.</t>
  </si>
  <si>
    <t xml:space="preserve">2. One agent end to end</t>
  </si>
  <si>
    <t xml:space="preserve">Filter Files to Liaison, priority 1: server.ts -&gt; app.ts -&gt; contract.ts -&gt; skills -&gt; store. Then run its tests.</t>
  </si>
  <si>
    <t xml:space="preserve">3. The contract in every language</t>
  </si>
  <si>
    <t xml:space="preserve">Concepts: Agent contract. Compare /invoke in Python (Sentinel), TypeScript (Liaison), Java (Notary), Go (Pulse).</t>
  </si>
  <si>
    <t xml:space="preserve">4. The brain</t>
  </si>
  <si>
    <t xml:space="preserve">Conductor priority 1 files in this order: main.py, api/app.py, orchestration/pipeline.py, planner.py, executor.py, synthesizer.py, api/apps.py.</t>
  </si>
  <si>
    <t xml:space="preserve">5. Security</t>
  </si>
  <si>
    <t xml:space="preserve">Filter Category = Security across all components. Then Request flow 3 (email approval).</t>
  </si>
  <si>
    <t xml:space="preserve">6. Data and AI</t>
  </si>
  <si>
    <t xml:space="preserve">MCP server, Analyst's mcp_client, Librarian's rag/ folder, Pulse's holdings/.</t>
  </si>
  <si>
    <t xml:space="preserve">7. The apps</t>
  </si>
  <si>
    <t xml:space="preserve">Web: main.tsx, App.tsx, api/client.ts, api/hooks.ts, pages/Dossier.tsx. Mobile: main.dart, api_client.dart, session.dart, household_screen.dart.</t>
  </si>
  <si>
    <t xml:space="preserve">8. Tests</t>
  </si>
  <si>
    <t xml:space="preserve">Filter Category = Tests. For each component, read one test file and run the suite.</t>
  </si>
  <si>
    <t xml:space="preserve">Descriptions were written by reading each file. Folders like node_modules, .venv, target and the Flutter-generated android/ios/web folders are third-party or generated and are not listed file by file.</t>
  </si>
  <si>
    <t xml:space="preserve">Component</t>
  </si>
  <si>
    <t xml:space="preserve">Language</t>
  </si>
  <si>
    <t xml:space="preserve">Framework</t>
  </si>
  <si>
    <t xml:space="preserve">Port</t>
  </si>
  <si>
    <t xml:space="preserve">Folder</t>
  </si>
  <si>
    <t xml:space="preserve">What it does</t>
  </si>
  <si>
    <t xml:space="preserve">Skills / endpoints</t>
  </si>
  <si>
    <t xml:space="preserve">Talks to</t>
  </si>
  <si>
    <t xml:space="preserve">Must-read files</t>
  </si>
  <si>
    <t xml:space="preserve">Read so far</t>
  </si>
  <si>
    <t xml:space="preserve">Conductor</t>
  </si>
  <si>
    <t xml:space="preserve">Python 3</t>
  </si>
  <si>
    <t xml:space="preserve">FastAPI, httpx, Anthropic SDK</t>
  </si>
  <si>
    <t xml:space="preserve">8000</t>
  </si>
  <si>
    <t xml:space="preserve">agents/python/orchestrator</t>
  </si>
  <si>
    <t xml:space="preserve">The brain and the only door for the apps. Plans which agents to call (LLM or fallback rules), runs them in parallel stages, checks text with Sentinel, writes one answer. Also serves the app endpoints (sign-in, overview, skills, approve, live stream).</t>
  </si>
  <si>
    <t xml:space="preserve">POST /v1/chat; POST /invoke; /v1/auth/login; /v1/clients; /v1/clients/{id}/overview; /v1/skills/{agent}/{skill}; /v1/drafts/approve; /v1/stream</t>
  </si>
  <si>
    <t xml:space="preserve">All 9 agents (SERVICE_TOKEN); Anthropic API (planner/synthesizer); called by Atrium web and mobile (advisor JWT)</t>
  </si>
  <si>
    <t xml:space="preserve">Librarian</t>
  </si>
  <si>
    <t xml:space="preserve">FastAPI, ChromaDB</t>
  </si>
  <si>
    <t xml:space="preserve">8001</t>
  </si>
  <si>
    <t xml:space="preserve">agents/python/knowledge-rag</t>
  </si>
  <si>
    <t xml:space="preserve">RAG over the firm's documents: chunks and embeds policy/research files, retrieves the best passages and answers with numbered citations. Quarantines documents that contain prompt-injection text.</t>
  </si>
  <si>
    <t xml:space="preserve">search_knowledge; POST /v1/ingest; GET /v1/documents</t>
  </si>
  <si>
    <t xml:space="preserve">rag/ data and chroma-store; LLM optional; called by the Conductor</t>
  </si>
  <si>
    <t xml:space="preserve">Analyst</t>
  </si>
  <si>
    <t xml:space="preserve">FastAPI, MCP client</t>
  </si>
  <si>
    <t xml:space="preserve">8002</t>
  </si>
  <si>
    <t xml:space="preserve">agents/python/portfolio-insights</t>
  </si>
  <si>
    <t xml:space="preserve">Portfolio analysis: allocation vs target and drift, concentration, tax-loss ideas with replacements, rebalance actions. Reads holdings through the MCP server.</t>
  </si>
  <si>
    <t xml:space="preserve">analyze_portfolio</t>
  </si>
  <si>
    <t xml:space="preserve">MCP server :8500; called by the Conductor</t>
  </si>
  <si>
    <t xml:space="preserve">Scribe</t>
  </si>
  <si>
    <t xml:space="preserve">FastAPI</t>
  </si>
  <si>
    <t xml:space="preserve">8003</t>
  </si>
  <si>
    <t xml:space="preserve">agents/python/meeting-intel</t>
  </si>
  <si>
    <t xml:space="preserve">Reads meeting notes and pulls out the summary, action items with owners and dates, client concerns, life events and compliance flags (for example an SSN written in a note).</t>
  </si>
  <si>
    <t xml:space="preserve">summarize_meetings</t>
  </si>
  <si>
    <t xml:space="preserve">Meeting notes data; LLM optional; called by the Conductor</t>
  </si>
  <si>
    <t xml:space="preserve">Sentinel</t>
  </si>
  <si>
    <t xml:space="preserve">8004</t>
  </si>
  <si>
    <t xml:space="preserve">agents/python/compliance-guard</t>
  </si>
  <si>
    <t xml:space="preserve">Security and compliance guard: detects prompt injection, masks PII, blocks non-compliant claims (for example 'guaranteed returns') and keeps an audit log.</t>
  </si>
  <si>
    <t xml:space="preserve">check_input; check_output; check_email</t>
  </si>
  <si>
    <t xml:space="preserve">Called by the Conductor before and after other agents</t>
  </si>
  <si>
    <t xml:space="preserve">Herald</t>
  </si>
  <si>
    <t xml:space="preserve">TypeScript</t>
  </si>
  <si>
    <t xml:space="preserve">Node 22, Express 5</t>
  </si>
  <si>
    <t xml:space="preserve">8101</t>
  </si>
  <si>
    <t xml:space="preserve">agents/node/client-comms</t>
  </si>
  <si>
    <t xml:space="preserve">Drafts client emails from CRM context and a template (or LLM), runs its own compliance rules and adds disclosures. Never sends: every draft requires approval.</t>
  </si>
  <si>
    <t xml:space="preserve">draft_email; review_email; GET /v1/rules</t>
  </si>
  <si>
    <t xml:space="preserve">Liaison :8102 for household context; called by the Conductor</t>
  </si>
  <si>
    <t xml:space="preserve">Liaison</t>
  </si>
  <si>
    <t xml:space="preserve">8102</t>
  </si>
  <si>
    <t xml:space="preserve">agents/node/crm-sync</t>
  </si>
  <si>
    <t xml:space="preserve">The CRM: households, members (PII masked), preferences, tasks and notes. Writes are idempotent (idempotency keys).</t>
  </si>
  <si>
    <t xml:space="preserve">get_household; list_tasks; log_note; GET /v1/households</t>
  </si>
  <si>
    <t xml:space="preserve">data/crm.json; called by the Conductor and Herald</t>
  </si>
  <si>
    <t xml:space="preserve">Notary</t>
  </si>
  <si>
    <t xml:space="preserve">Java 21</t>
  </si>
  <si>
    <t xml:space="preserve">Spring Boot 3.5</t>
  </si>
  <si>
    <t xml:space="preserve">8201</t>
  </si>
  <si>
    <t xml:space="preserve">agents/java/onboarding-kyc</t>
  </si>
  <si>
    <t xml:space="preserve">KYC/onboarding: 14 rules over documents (expiring IDs, missing W-9, beneficiaries), fuzzy AML name screening against a fictional watchlist, idempotent document recording (stores only the last 4 digits).</t>
  </si>
  <si>
    <t xml:space="preserve">check_kyc; list_documents; screen_name; record_document</t>
  </si>
  <si>
    <t xml:space="preserve">data/kyc.seed.json, watchlist.json; called by the Conductor</t>
  </si>
  <si>
    <t xml:space="preserve">Actuary</t>
  </si>
  <si>
    <t xml:space="preserve">8202</t>
  </si>
  <si>
    <t xml:space="preserve">agents/java/risk-engine</t>
  </si>
  <si>
    <t xml:space="preserve">Risk and planning: risk score (lower of willingness and capacity), seeded Monte Carlo retirement projections, historical stress tests.</t>
  </si>
  <si>
    <t xml:space="preserve">risk_score; project_retirement; stress_test</t>
  </si>
  <si>
    <t xml:space="preserve">MCP server :8500 (snapshot fallback); called by the Conductor</t>
  </si>
  <si>
    <t xml:space="preserve">Pulse</t>
  </si>
  <si>
    <t xml:space="preserve">Go 1.22+</t>
  </si>
  <si>
    <t xml:space="preserve">Standard library only</t>
  </si>
  <si>
    <t xml:space="preserve">8301</t>
  </si>
  <si>
    <t xml:space="preserve">agents/go/market-pulse</t>
  </si>
  <si>
    <t xml:space="preserve">Market events: matches news to each household's holdings, estimates dollar impact, ranks relevance, streams new events live (SSE). Quarantines injected 'news'.</t>
  </si>
  <si>
    <t xml:space="preserve">get_events; scan_clients; list_events; POST /v1/events; GET /v1/stream</t>
  </si>
  <si>
    <t xml:space="preserve">MCP server :8500; streams to the Conductor</t>
  </si>
  <si>
    <t xml:space="preserve">MCP server</t>
  </si>
  <si>
    <t xml:space="preserve">MCP SDK (streamable HTTP), uvicorn</t>
  </si>
  <si>
    <t xml:space="preserve">8500</t>
  </si>
  <si>
    <t xml:space="preserve">mcp-servers/advisor-tools</t>
  </si>
  <si>
    <t xml:space="preserve">Model Context Protocol server exposing read-only advisor tools (holdings, accounts, prices) to agents and LLMs, behind a service token.</t>
  </si>
  <si>
    <t xml:space="preserve">MCP tools over POST /mcp; /health</t>
  </si>
  <si>
    <t xml:space="preserve">Called by Analyst, Actuary and Pulse</t>
  </si>
  <si>
    <t xml:space="preserve">RAG data</t>
  </si>
  <si>
    <t xml:space="preserve">Markdown</t>
  </si>
  <si>
    <t xml:space="preserve">rag</t>
  </si>
  <si>
    <t xml:space="preserve">The firm's sample documents the Librarian indexes (policies, research notes).</t>
  </si>
  <si>
    <t xml:space="preserve">Read by the Librarian's ingest</t>
  </si>
  <si>
    <t xml:space="preserve">Atrium web</t>
  </si>
  <si>
    <t xml:space="preserve">React 19, Vite, TanStack Query</t>
  </si>
  <si>
    <t xml:space="preserve">5173</t>
  </si>
  <si>
    <t xml:space="preserve">frontend/web</t>
  </si>
  <si>
    <t xml:space="preserve">The advisor workstation in the browser: households, the dossier (six agents in parallel), retirement what-if, email draft and approve, Ask, live market news.</t>
  </si>
  <si>
    <t xml:space="preserve">Uses Conductor /v1/* only</t>
  </si>
  <si>
    <t xml:space="preserve">Conductor :8000 (via the Vite proxy)</t>
  </si>
  <si>
    <t xml:space="preserve">Atrium mobile</t>
  </si>
  <si>
    <t xml:space="preserve">Dart</t>
  </si>
  <si>
    <t xml:space="preserve">Flutter 3</t>
  </si>
  <si>
    <t xml:space="preserve">frontend/mobile</t>
  </si>
  <si>
    <t xml:space="preserve">The same advisor experience on Android, iOS and Chrome: households, household file, email approve, live news tab, Ask.</t>
  </si>
  <si>
    <t xml:space="preserve">Conductor :8000 (10.0.2.2 from the Android emulator)</t>
  </si>
  <si>
    <t xml:space="preserve">Repo scripts</t>
  </si>
  <si>
    <t xml:space="preserve">PowerShell</t>
  </si>
  <si>
    <t xml:space="preserve">scripts</t>
  </si>
  <si>
    <t xml:space="preserve">Repo-wide helper scripts (for example creating aurelius/.env with generated secrets).</t>
  </si>
  <si>
    <t xml:space="preserve">Repo root</t>
  </si>
  <si>
    <t xml:space="preserve">(top level)</t>
  </si>
  <si>
    <t xml:space="preserve">Placeholder folders reserved for later (contracts, docs, infra, security, tests).</t>
  </si>
  <si>
    <t xml:space="preserve">Total</t>
  </si>
  <si>
    <t xml:space="preserve">Five real requests, followed file by file</t>
  </si>
  <si>
    <t xml:space="preserve">Each step names the file that does it. Find the file on the Files sheet for the details.</t>
  </si>
  <si>
    <t xml:space="preserve">1. Sign in</t>
  </si>
  <si>
    <t xml:space="preserve">Step</t>
  </si>
  <si>
    <t xml:space="preserve">What happens</t>
  </si>
  <si>
    <t xml:space="preserve">File</t>
  </si>
  <si>
    <t xml:space="preserve">Advisor types the password and presses Sign in</t>
  </si>
  <si>
    <t xml:space="preserve">frontend/web/src/pages/SignIn.tsx</t>
  </si>
  <si>
    <t xml:space="preserve">auth.signIn calls the API client</t>
  </si>
  <si>
    <t xml:space="preserve">frontend/web/src/lib/auth.tsx</t>
  </si>
  <si>
    <t xml:space="preserve">POST /v1/auth/login is sent (Vite proxies it to :8000)</t>
  </si>
  <si>
    <t xml:space="preserve">frontend/web/src/api/client.ts</t>
  </si>
  <si>
    <t xml:space="preserve">Conductor checks DEV_LOGIN_PASSWORD (constant-time), throttles failures, returns a signed JWT</t>
  </si>
  <si>
    <t xml:space="preserve">agents/python/orchestrator/src/api/apps.py</t>
  </si>
  <si>
    <t xml:space="preserve">JWT is created and later verified on every request</t>
  </si>
  <si>
    <t xml:space="preserve">agents/python/orchestrator/src/security/auth.py</t>
  </si>
  <si>
    <t xml:space="preserve">Token is kept in sessionStorage; an expiry timer signs out on time</t>
  </si>
  <si>
    <t xml:space="preserve">2. Open a household (the dossier)</t>
  </si>
  <si>
    <t xml:space="preserve">Advisor clicks a household; the page asks for the overview</t>
  </si>
  <si>
    <t xml:space="preserve">frontend/web/src/pages/Dossier.tsx</t>
  </si>
  <si>
    <t xml:space="preserve">useOverview calls GET /v1/clients/{id}/overview</t>
  </si>
  <si>
    <t xml:space="preserve">frontend/web/src/api/hooks.ts</t>
  </si>
  <si>
    <t xml:space="preserve">Conductor runs 6 skills in parallel (asyncio.gather) and times each</t>
  </si>
  <si>
    <t xml:space="preserve">Each call goes out with SERVICE_TOKEN and X-Trace-Id (or to recorded answers in mock mode)</t>
  </si>
  <si>
    <t xml:space="preserve">agents/python/orchestrator/src/orchestration/executor.py</t>
  </si>
  <si>
    <t xml:space="preserve">Liaison returns the household from the CRM</t>
  </si>
  <si>
    <t xml:space="preserve">agents/node/crm-sync/src/skills/index.ts</t>
  </si>
  <si>
    <t xml:space="preserve">Analyst asks the MCP server for holdings and analyses them</t>
  </si>
  <si>
    <t xml:space="preserve">agents/python/portfolio-insights/src/analysis/engine.py</t>
  </si>
  <si>
    <t xml:space="preserve">MCP server serves holdings from its data store</t>
  </si>
  <si>
    <t xml:space="preserve">mcp-servers/advisor-tools/src/server.py</t>
  </si>
  <si>
    <t xml:space="preserve">Notary applies the KYC rules</t>
  </si>
  <si>
    <t xml:space="preserve">agents/java/onboarding-kyc/src/main/java/com/aurelius/notary/kyc/KycRules.java</t>
  </si>
  <si>
    <t xml:space="preserve">Actuary scores risk</t>
  </si>
  <si>
    <t xml:space="preserve">agents/java/risk-engine/src/main/java/com/aurelius/actuary/risk/RiskScorer.java</t>
  </si>
  <si>
    <t xml:space="preserve">Pulse matches recent events to the holdings</t>
  </si>
  <si>
    <t xml:space="preserve">agents/go/market-pulse/internal/impact/impact.go</t>
  </si>
  <si>
    <t xml:space="preserve">Scribe summarises the meetings</t>
  </si>
  <si>
    <t xml:space="preserve">agents/python/meeting-intel/src/extract/service.py</t>
  </si>
  <si>
    <t xml:space="preserve">Web builds 'Needs you' from the six answers and renders each section</t>
  </si>
  <si>
    <t xml:space="preserve">frontend/web/src/components/NeedsYou.tsx</t>
  </si>
  <si>
    <t xml:space="preserve">3. Draft, edit and approve an email</t>
  </si>
  <si>
    <t xml:space="preserve">Advisor clicks Draft email</t>
  </si>
  <si>
    <t xml:space="preserve">frontend/web/src/components/EmailComposer.tsx</t>
  </si>
  <si>
    <t xml:space="preserve">POST /v1/skills/herald/draft_email; the Conductor checks the read-only allowlist</t>
  </si>
  <si>
    <t xml:space="preserve">Herald fetches household context from the Liaison</t>
  </si>
  <si>
    <t xml:space="preserve">agents/node/client-comms/src/clients/liaison.ts</t>
  </si>
  <si>
    <t xml:space="preserve">Herald composes the draft from a template (or LLM)</t>
  </si>
  <si>
    <t xml:space="preserve">agents/node/client-comms/src/compose/composer.ts</t>
  </si>
  <si>
    <t xml:space="preserve">Herald's compliance rules fix risky phrases and add disclosures</t>
  </si>
  <si>
    <t xml:space="preserve">agents/node/client-comms/src/compose/compliance.ts</t>
  </si>
  <si>
    <t xml:space="preserve">Advisor edits; Approve stays disabled while [placeholders] remain</t>
  </si>
  <si>
    <t xml:space="preserve">POST /v1/drafts/approve: Sentinel re-checks the edited text</t>
  </si>
  <si>
    <t xml:space="preserve">agents/python/orchestrator/src/security/guardrails.py</t>
  </si>
  <si>
    <t xml:space="preserve">Sentinel's rules detect non-compliant claims and PII</t>
  </si>
  <si>
    <t xml:space="preserve">agents/python/compliance-guard/src/guards/engine.py</t>
  </si>
  <si>
    <t xml:space="preserve">If clean, Liaison logs a CRM note (subject + fingerprint, idempotent)</t>
  </si>
  <si>
    <t xml:space="preserve">agents/node/crm-sync/src/store/crmStore.ts</t>
  </si>
  <si>
    <t xml:space="preserve">4. Live market news</t>
  </si>
  <si>
    <t xml:space="preserve">Workspace opens the stream after sign-in</t>
  </si>
  <si>
    <t xml:space="preserve">frontend/web/src/pages/Workspace.tsx</t>
  </si>
  <si>
    <t xml:space="preserve">fetch() reads SSE with an Authorization header and reconnects with backoff</t>
  </si>
  <si>
    <t xml:space="preserve">frontend/web/src/api/stream.ts</t>
  </si>
  <si>
    <t xml:space="preserve">Conductor relays Pulse's stream (30-minute limit, heartbeats)</t>
  </si>
  <si>
    <t xml:space="preserve">A news item is POSTed to Pulse /v1/events</t>
  </si>
  <si>
    <t xml:space="preserve">agents/go/market-pulse/internal/api/server.go</t>
  </si>
  <si>
    <t xml:space="preserve">Pulse quarantines prompt-injection text</t>
  </si>
  <si>
    <t xml:space="preserve">agents/go/market-pulse/internal/events/guard.go</t>
  </si>
  <si>
    <t xml:space="preserve">Pulse's broker fans the event out to subscribers with backpressure</t>
  </si>
  <si>
    <t xml:space="preserve">agents/go/market-pulse/internal/events/broker.go</t>
  </si>
  <si>
    <t xml:space="preserve">The headline appears in the rail (web) or News tab (mobile)</t>
  </si>
  <si>
    <t xml:space="preserve">frontend/mobile/lib/state/news_controller.dart</t>
  </si>
  <si>
    <t xml:space="preserve">5. Ask Aurelius (free-form question)</t>
  </si>
  <si>
    <t xml:space="preserve">Advisor asks a question</t>
  </si>
  <si>
    <t xml:space="preserve">frontend/web/src/components/AskPanel.tsx</t>
  </si>
  <si>
    <t xml:space="preserve">POST /v1/chat</t>
  </si>
  <si>
    <t xml:space="preserve">agents/python/orchestrator/src/api/app.py</t>
  </si>
  <si>
    <t xml:space="preserve">Sentinel checks the question for injection and PII</t>
  </si>
  <si>
    <t xml:space="preserve">Planner chooses agents and stages (Claude, or fallback rules without a key)</t>
  </si>
  <si>
    <t xml:space="preserve">agents/python/orchestrator/src/orchestration/planner.py</t>
  </si>
  <si>
    <t xml:space="preserve">Executor runs each stage in parallel</t>
  </si>
  <si>
    <t xml:space="preserve">Librarian retrieves cited passages from the firm's documents</t>
  </si>
  <si>
    <t xml:space="preserve">agents/python/knowledge-rag/src/rag/retriever.py</t>
  </si>
  <si>
    <t xml:space="preserve">Synthesizer writes one answer; Sentinel checks it; disclosure added</t>
  </si>
  <si>
    <t xml:space="preserve">agents/python/orchestrator/src/orchestration/synthesizer.py</t>
  </si>
  <si>
    <t xml:space="preserve">The whole sequence is wired together here</t>
  </si>
  <si>
    <t xml:space="preserve">agents/python/orchestrator/src/orchestration/pipeline.py</t>
  </si>
  <si>
    <t xml:space="preserve">Concept</t>
  </si>
  <si>
    <t xml:space="preserve">What it means here</t>
  </si>
  <si>
    <t xml:space="preserve">Where to look</t>
  </si>
  <si>
    <t xml:space="preserve">Agent contract</t>
  </si>
  <si>
    <t xml:space="preserve">Every agent exposes POST /invoke {skill, input, context{trace_id,user_id,client_id}} -&gt; {agent,status,output,error}, plus /health and /.well-known/agent.json. The Conductor can treat a Python, TypeScript, Java or Go agent identically.</t>
  </si>
  <si>
    <t xml:space="preserve">orchestrator/src/schemas/models.py; crm-sync/src/contract.ts; notary .../web/AgentController.java; market-pulse/internal/contract/contract.go</t>
  </si>
  <si>
    <t xml:space="preserve">Service token</t>
  </si>
  <si>
    <t xml:space="preserve">Agents only accept calls carrying SERVICE_TOKEN (compared in constant time; agents refuse to start if it is shorter than 24 characters). Apps never see it.</t>
  </si>
  <si>
    <t xml:space="preserve">*/security/auth.py; crm-sync/src/auth.ts; */web/ServiceTokenFilter.java; market-pulse/internal/api/server.go</t>
  </si>
  <si>
    <t xml:space="preserve">Advisor JWT</t>
  </si>
  <si>
    <t xml:space="preserve">Apps sign in to the Conductor and send a short-lived signed JWT; 401 or expiry signs out.</t>
  </si>
  <si>
    <t xml:space="preserve">orchestrator/src/security/auth.py; web/src/lib/auth.tsx; mobile/lib/state/session.dart</t>
  </si>
  <si>
    <t xml:space="preserve">Trace ID</t>
  </si>
  <si>
    <t xml:space="preserve">X-Trace-Id travels from the app through the Conductor to every agent and back, so one request can be followed across all logs and languages.</t>
  </si>
  <si>
    <t xml:space="preserve">*/TraceFilter.java; */log_setup.py; web/src/api/client.ts</t>
  </si>
  <si>
    <t xml:space="preserve">Guardrails (Sentinel)</t>
  </si>
  <si>
    <t xml:space="preserve">Inputs are checked for prompt injection and PII; outputs and emails are checked for non-compliant claims. Text can be blocked or rewritten.</t>
  </si>
  <si>
    <t xml:space="preserve">compliance-guard/src/guards/*; orchestrator/src/security/guardrails.py</t>
  </si>
  <si>
    <t xml:space="preserve">Human in the loop</t>
  </si>
  <si>
    <t xml:space="preserve">Agents draft; only an advisor approval logs anything to the CRM; nothing is ever sent automatically.</t>
  </si>
  <si>
    <t xml:space="preserve">client-comms/src/compose/*; orchestrator/src/api/apps.py (approve); web EmailComposer.tsx; mobile email_screen.dart</t>
  </si>
  <si>
    <t xml:space="preserve">MCP</t>
  </si>
  <si>
    <t xml:space="preserve">Model Context Protocol: a standard way to expose tools/data to LLMs and agents. Here, holdings data over streamable HTTP with a session id.</t>
  </si>
  <si>
    <t xml:space="preserve">mcp-servers/advisor-tools/src/server.py; portfolio-insights/src/mcp_client/client.py; actuary .../mcp/McpClient.java; market-pulse/internal/holdings/mcp.go</t>
  </si>
  <si>
    <t xml:space="preserve">RAG</t>
  </si>
  <si>
    <t xml:space="preserve">Retrieval-augmented generation: chunk documents, embed, retrieve the nearest passages, answer only from them with citations.</t>
  </si>
  <si>
    <t xml:space="preserve">knowledge-rag/src/rag/*</t>
  </si>
  <si>
    <t xml:space="preserve">Planner / executor / synthesizer</t>
  </si>
  <si>
    <t xml:space="preserve">The Conductor's orchestration pattern: plan stages, run each stage's steps in parallel, merge results into one answer.</t>
  </si>
  <si>
    <t xml:space="preserve">orchestrator/src/orchestration/*</t>
  </si>
  <si>
    <t xml:space="preserve">Mock mode and recorded answers</t>
  </si>
  <si>
    <t xml:space="preserve">MOCK_AGENTS=true replays real recorded agent outputs, so the Conductor and apps run without all ten services. REAL_AGENTS lists exceptions.</t>
  </si>
  <si>
    <t xml:space="preserve">orchestrator/src/agents/mock_agents.py; recorded_responses.json</t>
  </si>
  <si>
    <t xml:space="preserve">Server-Sent Events (SSE)</t>
  </si>
  <si>
    <t xml:space="preserve">One long HTTP response carrying 'event:' and 'data:' blocks; used for live market news end to end.</t>
  </si>
  <si>
    <t xml:space="preserve">market-pulse/internal/api/server.go; orchestrator apps.py (/v1/stream); web/src/api/stream.ts; mobile/lib/api/sse.dart</t>
  </si>
  <si>
    <t xml:space="preserve">Idempotency</t>
  </si>
  <si>
    <t xml:space="preserve">Writes carry a key so retries never create duplicates (CRM notes, KYC documents, Pulse events).</t>
  </si>
  <si>
    <t xml:space="preserve">crm-sync/src/store/crmStore.ts; notary KycStore.java; market-pulse/internal/events/feed.go</t>
  </si>
  <si>
    <t xml:space="preserve">Resilience</t>
  </si>
  <si>
    <t xml:space="preserve">Timeouts, per-section errors ('Pulse didn't answer'), snapshot fallbacks when MCP is down, reconnect with backoff.</t>
  </si>
  <si>
    <t xml:space="preserve">orchestrator executor.py; actuary PortfolioSource.java; web/src/api/stream.ts; mobile news_controller.dart</t>
  </si>
  <si>
    <t xml:space="preserve">Testing approach</t>
  </si>
  <si>
    <t xml:space="preserve">Every component has unit and API tests; frontends test against a fake Conductor replaying real recorded outputs.</t>
  </si>
  <si>
    <t xml:space="preserve">*/tests/*; frontend/web/tests; frontend/mobile/test</t>
  </si>
  <si>
    <t xml:space="preserve">#</t>
  </si>
  <si>
    <t xml:space="preserve">Category</t>
  </si>
  <si>
    <t xml:space="preserve">Key parts</t>
  </si>
  <si>
    <t xml:space="preserve">Connects to</t>
  </si>
  <si>
    <t xml:space="preserve">How to explain it in an interview</t>
  </si>
  <si>
    <t xml:space="preserve">Read it? (Yes/No)</t>
  </si>
  <si>
    <t xml:space="preserve">agents/python/orchestrator/src/agents</t>
  </si>
  <si>
    <t xml:space="preserve">registry.py</t>
  </si>
  <si>
    <t xml:space="preserve">Business logic</t>
  </si>
  <si>
    <t xml:space="preserve">Hard-coded registry of the nine agents with URLs and skill descriptions, plus the UI skill allowlist.</t>
  </si>
  <si>
    <t xml:space="preserve">AgentInfo; build_registry(); UI_SKILLS (read-only skills apps may call); describe_for_planner(); sentinel plannable=False</t>
  </si>
  <si>
    <t xml:space="preserve">used by planner.py, executor.py, apps.py, api/app.py</t>
  </si>
  <si>
    <t xml:space="preserve">The planner prompt is built from this registry, and a separate allowlist keeps write skills out of reach of the apps.</t>
  </si>
  <si>
    <t xml:space="preserve">No</t>
  </si>
  <si>
    <t xml:space="preserve">agents/python/orchestrator/src/api</t>
  </si>
  <si>
    <t xml:space="preserve">app.py</t>
  </si>
  <si>
    <t xml:space="preserve">API / routes</t>
  </si>
  <si>
    <t xml:space="preserve">Creates the FastAPI app: lifespan wiring of the pipeline, CORS, security headers, error handler, and the core endpoints (health, agent card, agents list, chat, invoke).</t>
  </si>
  <si>
    <t xml:space="preserve">create_app(); GET /health; GET /.well-known/agent.json; GET /v1/agents (up/down/mock); POST /v1/chat (advisor JWT); POST /invoke (service token, skill 'chat'); security_headers middleware; _run maps guardrail errors to 400/503</t>
  </si>
  <si>
    <t xml:space="preserve">called by main.py; includes api/apps.py router; uses Pipeline, Planner, Synthesizer, Guardrails, AgentClient, security/auth.py</t>
  </si>
  <si>
    <t xml:space="preserve">The global exception handler returns only a trace id, never a stack trace, and the app refuses to start with insecure settings.</t>
  </si>
  <si>
    <t xml:space="preserve">apps.py</t>
  </si>
  <si>
    <t xml:space="preserve">Backend-for-frontend endpoints shaped for the Atrium web and Flutter mobile screens, so apps never hold the service token.</t>
  </si>
  <si>
    <t xml:space="preserve">POST /v1/auth/login (dev password, 5 fails per 5 min throttle); GET /v1/me; GET /v1/clients; GET /v1/clients/{id}/overview (6 agents via asyncio.gather); POST /v1/skills/{agent}/{skill} (allowlist); POST /v1/drafts/approve; GET /v1/stream (SSE relay of Pulse)</t>
  </si>
  <si>
    <t xml:space="preserve">included by api/app.py; calls AgentClient, UI_SKILLS in agents/registry.py, Sentinel via guardrails, Liaison log_note, Pulse :8301</t>
  </si>
  <si>
    <t xml:space="preserve">Skill calls go through an explicit read-only allowlist and approvals re-check text with Sentinel and log only a hash, keeping a human in the loop.</t>
  </si>
  <si>
    <t xml:space="preserve">agents/python/orchestrator/src/core</t>
  </si>
  <si>
    <t xml:space="preserve">config.py</t>
  </si>
  <si>
    <t xml:space="preserve">Config</t>
  </si>
  <si>
    <t xml:space="preserve">Typed settings loaded from environment and .env files via pydantic-settings: ports, agent URLs, LLM model, auth, limits, mock flags.</t>
  </si>
  <si>
    <t xml:space="preserve">Settings; MOCK_AGENTS; REAL_AGENTS; SENTINEL_FAIL_MODE; JWT_SIGNING_KEY; SERVICE_TOKEN; ALLOWED_ORIGINS; DEV_LOGIN_PASSWORD; max_plan_stages=4, max_plan_steps=8; use_mock_llm; is_mocked(); get_settings()</t>
  </si>
  <si>
    <t xml:space="preserve">used by nearly every file in src/; reads root .env then orchestrator .env</t>
  </si>
  <si>
    <t xml:space="preserve">Typed settings fail at startup on bad values and keep secrets and URLs out of code.</t>
  </si>
  <si>
    <t xml:space="preserve">agents/python/orchestrator/src/llm</t>
  </si>
  <si>
    <t xml:space="preserve">client.py</t>
  </si>
  <si>
    <t xml:space="preserve">Data access / clients</t>
  </si>
  <si>
    <t xml:space="preserve">The only file that talks to Claude: a thin gateway with mock mode, timeouts, retries, prompt caching and cost logging.</t>
  </si>
  <si>
    <t xml:space="preserve">LLMClient.complete(); complete_with_tool() forces tool_choice; _system_blocks with cache_control; _estimate_cost price table; LLMError; max_retries=2</t>
  </si>
  <si>
    <t xml:space="preserve">used by planner.py and synthesizer.py; created in api/app.py</t>
  </si>
  <si>
    <t xml:space="preserve">One gateway lets you swap models by env var, log token cost in one place, and test without an API key.</t>
  </si>
  <si>
    <t xml:space="preserve">agents/python/orchestrator/src</t>
  </si>
  <si>
    <t xml:space="preserve">main.py</t>
  </si>
  <si>
    <t xml:space="preserve">Entry point</t>
  </si>
  <si>
    <t xml:space="preserve">Starts the Conductor with uvicorn on port 8000. Builds the FastAPI app through a factory function so reload works.</t>
  </si>
  <si>
    <t xml:space="preserve">build_app() sets up JSON logging and calls create_app(); __main__ runs uvicorn with reload=True, host from CONDUCTOR_HOST</t>
  </si>
  <si>
    <t xml:space="preserve">calls api/app.py create_app, core/config.py, core/log_setup.py</t>
  </si>
  <si>
    <t xml:space="preserve">Binding to 127.0.0.1 by default keeps the API private to the machine unless CONDUCTOR_HOST is changed.</t>
  </si>
  <si>
    <t xml:space="preserve">agents/python/orchestrator/src/orchestration</t>
  </si>
  <si>
    <t xml:space="preserve">executor.py</t>
  </si>
  <si>
    <t xml:space="preserve">Runs a Plan: stages in order, steps within a stage in parallel, each call isolated, with service-token auth, retry and mock switch.</t>
  </si>
  <si>
    <t xml:space="preserve">AgentClient.call() (POST {agent}/invoke, 1 retry on 5xx/timeouts, no retry on 4xx); _run_step; run_plan() with asyncio.gather; prior_results passed to later stages</t>
  </si>
  <si>
    <t xml:space="preserve">used by pipeline.py, apps.py, guardrails.py; calls agents on their ports or mock_agents</t>
  </si>
  <si>
    <t xml:space="preserve">One failing agent returns an error result instead of breaking the whole request, and only transient errors are retried.</t>
  </si>
  <si>
    <t xml:space="preserve">pipeline.py</t>
  </si>
  <si>
    <t xml:space="preserve">Runs the 7-phase request flow: input guard, plan, execute, drafts, synthesize, output guard, return.</t>
  </si>
  <si>
    <t xml:space="preserve">Pipeline.handle(); builds InvokeContext with trace id; logs ids not text; Herald output becomes a Draft after output guard</t>
  </si>
  <si>
    <t xml:space="preserve">called by api/app.py _run; calls Guardrails, Planner, run_plan, Synthesizer</t>
  </si>
  <si>
    <t xml:space="preserve">Sentinel masks PII before the planner or LLM sees the message, so the model never receives raw sensitive data.</t>
  </si>
  <si>
    <t xml:space="preserve">planner.py</t>
  </si>
  <si>
    <t xml:space="preserve">Turns an advisor request into a staged Plan using Claude with a forced tool call, validates it, and falls back to keyword rules if the LLM fails.</t>
  </si>
  <si>
    <t xml:space="preserve">PLANNER_SYSTEM prompt; _plan_tool (submit_plan); validate_plan() drops unknown agents/skills, caps size, forces UI client_id; _RULES and rule_based_plan(); Planner.plan()</t>
  </si>
  <si>
    <t xml:space="preserve">called by pipeline.py; uses llm/client.py and agents/registry.py</t>
  </si>
  <si>
    <t xml:space="preserve">The LLM proposes and code decides: validate_plan filters the plan, and rules give graceful degradation.</t>
  </si>
  <si>
    <t xml:space="preserve">synthesizer.py</t>
  </si>
  <si>
    <t xml:space="preserve">Merges agent results into a short Markdown briefing for the advisor, with a non-LLM fallback.</t>
  </si>
  <si>
    <t xml:space="preserve">SYNTH_SYSTEM prompt (use only agent facts, cite [Agent]); _fallback_answer(); Synthesizer.synthesize(); Herald body not sent to the LLM</t>
  </si>
  <si>
    <t xml:space="preserve">called by pipeline.py; uses llm/client.py</t>
  </si>
  <si>
    <t xml:space="preserve">Grounding the answer in agent output and citing the source agent reduces invented numbers, which matters in finance.</t>
  </si>
  <si>
    <t xml:space="preserve">agents/python/orchestrator/src/schemas</t>
  </si>
  <si>
    <t xml:space="preserve">models.py</t>
  </si>
  <si>
    <t xml:space="preserve">Models / schemas</t>
  </si>
  <si>
    <t xml:space="preserve">Pydantic models: the agent contract shared by all agents, plus planning, results and the chat API types.</t>
  </si>
  <si>
    <t xml:space="preserve">AgentRequest/AgentResponse/InvokeContext (POST /invoke contract); PlanStep/Plan (stages of parallel steps); StepResult; ChatRequest (client_id regex, 20000 char cap); Draft (requires_approval); ChatResponse</t>
  </si>
  <si>
    <t xml:space="preserve">used by executor, planner, pipeline, apps, mock_agents and api/app.py</t>
  </si>
  <si>
    <t xml:space="preserve">One JSON contract for all ten agents, in four languages, lets the Conductor call any of them identically.</t>
  </si>
  <si>
    <t xml:space="preserve">agents/python/orchestrator/src/security</t>
  </si>
  <si>
    <t xml:space="preserve">auth.py</t>
  </si>
  <si>
    <t xml:space="preserve">Security</t>
  </si>
  <si>
    <t xml:space="preserve">JWT verification for advisors, constant-time shared-token check for agent callers, and startup security checks.</t>
  </si>
  <si>
    <t xml:space="preserve">create_token (HS256); require_user (pins algorithm, checks exp/sub/iss/aud, role advisor or admin); require_service (hmac.compare_digest); check_startup_security</t>
  </si>
  <si>
    <t xml:space="preserve">used by api/app.py and api/apps.py Depends</t>
  </si>
  <si>
    <t xml:space="preserve">Two credential types for two caller types, with a fail-closed startup check that rejects weak keys and wildcard CORS.</t>
  </si>
  <si>
    <t xml:space="preserve">guardrails.py</t>
  </si>
  <si>
    <t xml:space="preserve">Wraps Sentinel calls for input and output checks and decides what happens if Sentinel is down.</t>
  </si>
  <si>
    <t xml:space="preserve">Guardrails.check_input/check_output; GuardrailBlocked; GuardrailUnavailable; SENTINEL_FAIL_MODE closed (default) or open</t>
  </si>
  <si>
    <t xml:space="preserve">called by pipeline.py and apps.py; calls Sentinel :8004 via AgentClient</t>
  </si>
  <si>
    <t xml:space="preserve">Fail closed: if the security check cannot run, the request is refused rather than skipped.</t>
  </si>
  <si>
    <t xml:space="preserve">run.ps1</t>
  </si>
  <si>
    <t xml:space="preserve">Build / tooling</t>
  </si>
  <si>
    <t xml:space="preserve">Windows script that sets up .env, creates the venv, installs deps, then starts the server or runs tests (-Test).</t>
  </si>
  <si>
    <t xml:space="preserve">calls scripts/setup_env.ps1; .venv; src/main.py; pytest</t>
  </si>
  <si>
    <t xml:space="preserve">uses repo scripts/setup_env.ps1</t>
  </si>
  <si>
    <t xml:space="preserve">mock_agents.py</t>
  </si>
  <si>
    <t xml:space="preserve">Test double that answers for agents when MOCK_AGENTS=true: a regex-based Sentinel and recorded real outputs for the rest.</t>
  </si>
  <si>
    <t xml:space="preserve">mask_pii (SSN, account number, email, phone); _INJECTION_PATTERNS; _sentinel(); _recorded(); _write() for liaison.log_note; respond() with 50 ms fake latency</t>
  </si>
  <si>
    <t xml:space="preserve">called by executor.py AgentClient and apps.py; reads recorded_responses.json</t>
  </si>
  <si>
    <t xml:space="preserve">Mocks replay real recorded agent output, so code written against them works unchanged on the real agents.</t>
  </si>
  <si>
    <t xml:space="preserve">agents/python/orchestrator/tests</t>
  </si>
  <si>
    <t xml:space="preserve">conftest.py</t>
  </si>
  <si>
    <t xml:space="preserve">Tests</t>
  </si>
  <si>
    <t xml:space="preserve">Shared fixtures: settings with fake LLM and agents, a TestClient, and an auth header.</t>
  </si>
  <si>
    <t xml:space="preserve">settings; client; auth</t>
  </si>
  <si>
    <t xml:space="preserve">used by all tests</t>
  </si>
  <si>
    <t xml:space="preserve">Tests ignore the real .env, so they are fast, free and deterministic.</t>
  </si>
  <si>
    <t xml:space="preserve">test_api.py</t>
  </si>
  <si>
    <t xml:space="preserve">End-to-end tests of core API: auth, headers, full chat flow, PII masking, injection blocking, limits, invoke, fail-closed.</t>
  </si>
  <si>
    <t xml:space="preserve">test_rejects_forged_token; test_rejects_expired_token; test_meeting_prep_full_flow; test_pii_is_masked; test_prompt_injection_blocked; test_fail_closed_when_sentinel_down; test_refuses_to_start_with_weak_jwt_key</t>
  </si>
  <si>
    <t xml:space="preserve">tests api/app.py and the pipeline</t>
  </si>
  <si>
    <t xml:space="preserve">Security behaviors are tested as features, including forged and expired tokens and Sentinel outage.</t>
  </si>
  <si>
    <t xml:space="preserve">test_apps.py</t>
  </si>
  <si>
    <t xml:space="preserve">Tests the app-facing endpoints: login throttle, overview parallelism, allowlist, draft approval, SSE stream, CORS.</t>
  </si>
  <si>
    <t xml:space="preserve">test_login_is_throttled_after_5_failures; test_overview_survives_one_agent_down; test_writes_and_unknown_skills_are_refused; test_approval_refused_if_sentinel_changes_the_text; test_stream_says_hello_pings_and_ends_at_its_time_limit</t>
  </si>
  <si>
    <t xml:space="preserve">tests api/apps.py</t>
  </si>
  <si>
    <t xml:space="preserve">Resilience is tested: the overview still returns when one agent is down.</t>
  </si>
  <si>
    <t xml:space="preserve">test_planner_executor.py</t>
  </si>
  <si>
    <t xml:space="preserve">Unit tests for plan validation, rule-based planning and the executor's parallelism and isolation.</t>
  </si>
  <si>
    <t xml:space="preserve">test_validate_plan_drops_bad_steps; test_validate_plan_caps_size; test_stage_runs_in_parallel; test_one_failing_agent_does_not_break_others; test_later_stage_receives_prior_results</t>
  </si>
  <si>
    <t xml:space="preserve">tests planner.py and executor.py</t>
  </si>
  <si>
    <t xml:space="preserve">Parallelism is proven by timing, not assumed.</t>
  </si>
  <si>
    <t xml:space="preserve">.env.example</t>
  </si>
  <si>
    <t xml:space="preserve">Template of Conductor environment variables with comments.</t>
  </si>
  <si>
    <t xml:space="preserve">ANTHROPIC_API_KEY; LLM_MODEL; MOCK_AGENTS; REAL_AGENTS=sentinel; SERVICE_TOKEN; AUTH_REQUIRED; JWT_SIGNING_KEY; ALLOWED_ORIGINS; DEV_LOGIN_PASSWORD; SENTINEL_FAIL_MODE</t>
  </si>
  <si>
    <t xml:space="preserve">read as reference for core/config.py</t>
  </si>
  <si>
    <t xml:space="preserve">Placeholders are rejected at startup, so the template cannot be run insecurely by accident.</t>
  </si>
  <si>
    <t xml:space="preserve">README.md</t>
  </si>
  <si>
    <t xml:space="preserve">Docs</t>
  </si>
  <si>
    <t xml:space="preserve">Overview of the Conductor: request flow, folder map, endpoints, modes and security principles.</t>
  </si>
  <si>
    <t xml:space="preserve">TESTING.md</t>
  </si>
  <si>
    <t xml:space="preserve">Runbook for starting, getting tokens, firing requests, running tests, plus troubleshooting and modes.</t>
  </si>
  <si>
    <t xml:space="preserve">api-tests.http</t>
  </si>
  <si>
    <t xml:space="preserve">Manual request collection for the VS Code REST Client, covering public, auth, chat, invoke and app endpoints with expected results in comments.</t>
  </si>
  <si>
    <t xml:space="preserve">sections: public endpoints, authentication, chat, invoke, apps; @token and @serviceToken variables</t>
  </si>
  <si>
    <t xml:space="preserve">hits the running Conductor on :8000</t>
  </si>
  <si>
    <t xml:space="preserve">pytest.ini</t>
  </si>
  <si>
    <t xml:space="preserve">Pytest config: puts src on the import path and sets tests folder.</t>
  </si>
  <si>
    <t xml:space="preserve">pythonpath=src; testpaths=tests</t>
  </si>
  <si>
    <t xml:space="preserve">used by pytest</t>
  </si>
  <si>
    <t xml:space="preserve">requirements.txt</t>
  </si>
  <si>
    <t xml:space="preserve">Python dependencies for the Conductor.</t>
  </si>
  <si>
    <t xml:space="preserve">fastapi; uvicorn; pydantic; pydantic-settings; httpx; anthropic; PyJWT; pytest</t>
  </si>
  <si>
    <t xml:space="preserve">installed by run.ps1</t>
  </si>
  <si>
    <t xml:space="preserve">agents/python/orchestrator/scripts</t>
  </si>
  <si>
    <t xml:space="preserve">make_dev_token.py</t>
  </si>
  <si>
    <t xml:space="preserve">Prints a short-lived advisor JWT for local testing.</t>
  </si>
  <si>
    <t xml:space="preserve">argv user and minutes; uses create_token</t>
  </si>
  <si>
    <t xml:space="preserve">uses core/config.py and security/auth.py</t>
  </si>
  <si>
    <t xml:space="preserve">__init__.py</t>
  </si>
  <si>
    <t xml:space="preserve">Empty package marker.</t>
  </si>
  <si>
    <t xml:space="preserve">recorded_responses.json</t>
  </si>
  <si>
    <t xml:space="preserve">Test data</t>
  </si>
  <si>
    <t xml:space="preserve">Real outputs captured from the running agents for the three demo households, used by the mocks.</t>
  </si>
  <si>
    <t xml:space="preserve">keys like liaison.get_household, analyst.analyze_portfolio, notary.check_kyc, actuary.stress_test, pulse.get_events, librarian.search_knowledge, herald.draft_email, each by client_id or '*'</t>
  </si>
  <si>
    <t xml:space="preserve">read by agents/mock_agents.py and api/apps.py /v1/clients</t>
  </si>
  <si>
    <t xml:space="preserve">log_setup.py</t>
  </si>
  <si>
    <t xml:space="preserve">Switches logging to one JSON object per line on stdout so logs can be searched by trace id.</t>
  </si>
  <si>
    <t xml:space="preserve">JsonFormatter; setup_logging(); quiets httpx logs</t>
  </si>
  <si>
    <t xml:space="preserve">called by main.py</t>
  </si>
  <si>
    <t xml:space="preserve">Logging ids, counts and timings but never message text avoids leaking PII into logs.</t>
  </si>
  <si>
    <t xml:space="preserve">agents/python/knowledge-rag/src/api</t>
  </si>
  <si>
    <t xml:space="preserve">Builds the Librarian FastAPI app. /invoke runs the search_knowledge skill (retrieve then answer); extra endpoints expose raw search, index contents and re-ingestion.</t>
  </si>
  <si>
    <t xml:space="preserve">GET /health (chunks_indexed); GET /.well-known/agent.json; POST /invoke; POST /v1/search (no LLM, shows scores); GET /v1/documents; POST /v1/ingest (asyncio lock); lifespan auto-ingests when index empty</t>
  </si>
  <si>
    <t xml:space="preserve">calls rag/retriever.py, rag/ingest.py, rag/store.py, llm/answerer.py, security/auth.py; called by the Conductor</t>
  </si>
  <si>
    <t xml:space="preserve">Blocking Chroma and embedding work runs in asyncio.to_thread and ingestion is serialized with a lock, so the event loop stays responsive.</t>
  </si>
  <si>
    <t xml:space="preserve">agents/python/knowledge-rag/src/llm</t>
  </si>
  <si>
    <t xml:space="preserve">answerer.py</t>
  </si>
  <si>
    <t xml:space="preserve">Step 6 of RAG: Claude Haiku writes a grounded answer from numbered passages in &lt;document&gt; tags, citing [n]. Code then validates citations; without a key or on failure it falls back to an extractive answer of quoted passages.</t>
  </si>
  <si>
    <t xml:space="preserve">SYSTEM prompt (use only documents, cite, max 150 words); NOT_FOUND; Answerer.answer(); _extractive(); _citations(); prompt caching on the system block</t>
  </si>
  <si>
    <t xml:space="preserve">called by api/app.py invoke(); reads core/config.py</t>
  </si>
  <si>
    <t xml:space="preserve">Never trust model output format: only [n] citations that really exist are kept, and passages are treated as untrusted data.</t>
  </si>
  <si>
    <t xml:space="preserve">agents/python/knowledge-rag/src</t>
  </si>
  <si>
    <t xml:space="preserve">Starts the Librarian with uvicorn on 127.0.0.1:8001 via an app factory; on first start the index is empty so the docs folder is ingested automatically.</t>
  </si>
  <si>
    <t xml:space="preserve">build_app() sets up logging and calls create_app(); __main__ runs uvicorn with settings.port</t>
  </si>
  <si>
    <t xml:space="preserve">imports api/app.py, core/config.py, core/log_setup.py</t>
  </si>
  <si>
    <t xml:space="preserve">agents/python/knowledge-rag/src/rag</t>
  </si>
  <si>
    <t xml:space="preserve">chunker.py</t>
  </si>
  <si>
    <t xml:space="preserve">Step 2 of RAG: splits documents on markdown headings, packs paragraphs into about 700-character chunks with overlap, and prefixes each chunk with 'Title &gt; Section'.</t>
  </si>
  <si>
    <t xml:space="preserve">Chunk dataclass; _sections(); _pack(); chunk_document(); chunk id = sha1(source#index)[:16]; empty headings carried into the next chunk</t>
  </si>
  <si>
    <t xml:space="preserve">called by rag/ingest.py; uses rag/loader.py Document</t>
  </si>
  <si>
    <t xml:space="preserve">Stable chunk ids make re-ingestion replace rather than duplicate, and heading carry-over keeps facts like 'Rating: Hold'.</t>
  </si>
  <si>
    <t xml:space="preserve">ingest.py</t>
  </si>
  <si>
    <t xml:space="preserve">Ingestion pipeline load, chunk, safety check, embed, store. It is idempotent: old chunks of a document are deleted first and documents removed from disk are removed from the index.</t>
  </si>
  <si>
    <t xml:space="preserve">run_ingest() returns IngestReport (documents, chunks, quarantined, removed_sources, duration_ms)</t>
  </si>
  <si>
    <t xml:space="preserve">called by api/app.py (startup and POST /v1/ingest) and scripts/ingest.py; uses loader, chunker, safety, embeddings, store</t>
  </si>
  <si>
    <t xml:space="preserve">Idempotent ingestion means an edited policy never leaves stale passages behind.</t>
  </si>
  <si>
    <t xml:space="preserve">retriever.py</t>
  </si>
  <si>
    <t xml:space="preserve">Step 5 of RAG: embeds the question, fetches nearest chunks, drops anything below the minimum similarity, keeps the best chunk per source-section, and returns the top K.</t>
  </si>
  <si>
    <t xml:space="preserve">Retriever.retrieve(query, top_k, doc_type); fetches 3x top_k candidates</t>
  </si>
  <si>
    <t xml:space="preserve">called by api/app.py invoke(); uses rag/store.py and embeddings.py</t>
  </si>
  <si>
    <t xml:space="preserve">The minimum-score cutoff is an anti-hallucination tool: if nothing is close enough, nothing is returned and the answer says not found.</t>
  </si>
  <si>
    <t xml:space="preserve">safety.py</t>
  </si>
  <si>
    <t xml:space="preserve">Ingest-time defense against indirect prompt injection: any chunk that looks like instructions to the AI is quarantined and never indexed.</t>
  </si>
  <si>
    <t xml:space="preserve">_PATTERNS (override instructions, role change, mentions system prompt, orders to advisors); check_chunk() returns a reason or None</t>
  </si>
  <si>
    <t xml:space="preserve">called by rag/ingest.py; tested in tests/test_pipeline.py</t>
  </si>
  <si>
    <t xml:space="preserve">Poisoned documents are the RAG-specific attack, so suspicious chunks are stopped before they can be retrieved.</t>
  </si>
  <si>
    <t xml:space="preserve">store.py</t>
  </si>
  <si>
    <t xml:space="preserve">Step 4 of RAG: wraps an embedded ChromaDB persistent collection (cosine space) for upsert, delete by source, list sources, and nearest-neighbour search.</t>
  </si>
  <si>
    <t xml:space="preserve">VectorStore: upsert(); delete_source(); sources(); search() with optional doc_type filter; Hit dataclass (score = 1 - distance)</t>
  </si>
  <si>
    <t xml:space="preserve">called by rag/ingest.py, rag/retriever.py, api/app.py; persists to rag/chroma-store</t>
  </si>
  <si>
    <t xml:space="preserve">Chroma runs embedded so there is no server to install, and the code would change little for a hosted vector DB.</t>
  </si>
  <si>
    <t xml:space="preserve">agents/python/knowledge-rag/src/schemas</t>
  </si>
  <si>
    <t xml:space="preserve">Pydantic models: the shared agent contract plus the Librarian's skill input and result types.</t>
  </si>
  <si>
    <t xml:space="preserve">SearchInput (query, top_k 1-10, doc_type); Citation; SearchResult (answer, grounded, citations, answered_by); IngestReport; DocType literal</t>
  </si>
  <si>
    <t xml:space="preserve">used by api/app.py, llm/answerer.py, rag/ingest.py</t>
  </si>
  <si>
    <t xml:space="preserve">agents/python/knowledge-rag/scripts</t>
  </si>
  <si>
    <t xml:space="preserve">Command-line script that rebuilds the knowledge index without starting the server and prints the ingest report as JSON.</t>
  </si>
  <si>
    <t xml:space="preserve">adds src to sys.path; run_ingest(settings, VectorStore, embedder)</t>
  </si>
  <si>
    <t xml:space="preserve">uses rag/ingest.py, rag/store.py, core/config.py</t>
  </si>
  <si>
    <t xml:space="preserve">agents/python/knowledge-rag/src/core</t>
  </si>
  <si>
    <t xml:space="preserve">Pydantic Settings for the Librarian: port, token, LLM settings, embedding provider, docs and Chroma folders, chunking and retrieval knobs.</t>
  </si>
  <si>
    <t xml:space="preserve">Settings: port 8001 (LIBRARIAN_PORT); embedding_provider minilm|hash; docs_dir rag/data/sample-docs; chroma_dir rag/chroma-store; chunk_size 700; chunk_overlap 120; top_k 4; collection_name per provider; effective_min_score .30 minilm / .12 hash</t>
  </si>
  <si>
    <t xml:space="preserve">used by all modules; REPO_ROOT is resolved from the file path</t>
  </si>
  <si>
    <t xml:space="preserve">The collection name includes the embedding provider because vectors from different models cannot be mixed.</t>
  </si>
  <si>
    <t xml:space="preserve">embeddings.py</t>
  </si>
  <si>
    <t xml:space="preserve">Step 3 of RAG: turns text into vectors. Two providers: minilm (all-MiniLM-L6-v2 via Chroma ONNX, semantic) and hash (offline feature hashing, word overlap only).</t>
  </si>
  <si>
    <t xml:space="preserve">Embedder Protocol; HashEmbedder (512 dims, stopwords, tiny stemmer, bigrams); MiniLMEmbedder; build_embedder()</t>
  </si>
  <si>
    <t xml:space="preserve">used by api/app.py, rag/ingest.py, rag/retriever.py; tests use hash</t>
  </si>
  <si>
    <t xml:space="preserve">The hash fallback lets tests and offline runs work with no model download.</t>
  </si>
  <si>
    <t xml:space="preserve">loader.py</t>
  </si>
  <si>
    <t xml:space="preserve">Step 1 of RAG: reads .md and .txt files from the docs folder and parses the front matter (title, doc_type, effective_date) into Document objects.</t>
  </si>
  <si>
    <t xml:space="preserve">Document dataclass; parse_front_matter(); load_documents() skips hidden and unsupported files</t>
  </si>
  <si>
    <t xml:space="preserve">called by rag/ingest.py; reads rag/data/sample-docs</t>
  </si>
  <si>
    <t xml:space="preserve">Metadata is kept with the text so answers can cite document and date and searches can filter by type.</t>
  </si>
  <si>
    <t xml:space="preserve">agents/python/knowledge-rag/src/security</t>
  </si>
  <si>
    <t xml:space="preserve">Service-token authentication for protected endpoints, with a startup check that refuses weak tokens. Same pattern as Sentinel.</t>
  </si>
  <si>
    <t xml:space="preserve">require_service() with hmac.compare_digest; check_startup_security()</t>
  </si>
  <si>
    <t xml:space="preserve">used by api/app.py</t>
  </si>
  <si>
    <t xml:space="preserve">Constant-time comparison and fail-closed startup check.</t>
  </si>
  <si>
    <t xml:space="preserve">agents/python/knowledge-rag/tests</t>
  </si>
  <si>
    <t xml:space="preserve">Pytest fixtures: hash embeddings, a temp Chroma folder, the shared sample docs, no LLM, and an ask() helper that posts to /invoke.</t>
  </si>
  <si>
    <t xml:space="preserve">settings, client (startup auto-ingests), auth fixtures; ask()</t>
  </si>
  <si>
    <t xml:space="preserve">used by test_api.py and test_pipeline.py; reads rag/data/sample-docs</t>
  </si>
  <si>
    <t xml:space="preserve">Tests run in seconds with no download or API key and never touch the real index.</t>
  </si>
  <si>
    <t xml:space="preserve">End-to-end API tests: auth, grounded answer with citations, not-found instead of guessing, ignored extra fields, doc_type filter, input validation, raw search, quarantine, re-ingest, and Claude citation validation with a fake client.</t>
  </si>
  <si>
    <t xml:space="preserve">test_grounded_answer_with_citations; test_not_found_instead_of_guessing; test_documents_and_quarantine; test_claude_citations_are_validated; test_refuses_weak_token</t>
  </si>
  <si>
    <t xml:space="preserve">exercises api/app.py and llm/answerer.py</t>
  </si>
  <si>
    <t xml:space="preserve">The fake-Claude test proves a hallucinated [9] citation is stripped.</t>
  </si>
  <si>
    <t xml:space="preserve">test_pipeline.py</t>
  </si>
  <si>
    <t xml:space="preserve">Unit tests for each RAG step: front matter, chunking, safety quarantine, hash embedding similarity, idempotent ingest, removal of deleted docs, and retrieval correctness.</t>
  </si>
  <si>
    <t xml:space="preserve">test_chunks_follow_sections_and_keep_metadata; test_safety_quarantines_instructions; test_ingest_is_idempotent_and_quarantines; test_retriever_finds_right_document</t>
  </si>
  <si>
    <t xml:space="preserve">tests rag/ modules</t>
  </si>
  <si>
    <t xml:space="preserve">A retrieval test asserts an irrelevant question ('pizza in Chicago') returns nothing.</t>
  </si>
  <si>
    <t xml:space="preserve">Template for environment variables for the Librarian: shared SERVICE_TOKEN, optional Anthropic key, embedding provider (minilm or hash) and RAG knobs.</t>
  </si>
  <si>
    <t xml:space="preserve">SERVICE_TOKEN; optional ANTHROPIC_API_KEY, LLM_MODEL (claude-haiku-4-5-20251001); port override</t>
  </si>
  <si>
    <t xml:space="preserve">copy values into aurelius/.env (shared) or an agent-level .env; read by src/core/config.py</t>
  </si>
  <si>
    <t xml:space="preserve">Secrets live in .env files, not code; the example file holds placeholders only.</t>
  </si>
  <si>
    <t xml:space="preserve">Overview of the Librarian: purpose, port 8001, request flow, folder map and skills.</t>
  </si>
  <si>
    <t xml:space="preserve">Windows/PowerShell runbook for setting up the venv, starting the Librarian and running its tests.</t>
  </si>
  <si>
    <t xml:space="preserve">pytest in tests/; api-tests.http</t>
  </si>
  <si>
    <t xml:space="preserve">VS Code REST Client collection of manual HTTP requests against the Librarian on port 8001, with expected results noted in comments.</t>
  </si>
  <si>
    <t xml:space="preserve">requests for /health, agent card, /invoke skills, error cases</t>
  </si>
  <si>
    <t xml:space="preserve">used by hand against the running service; needs SERVICE_TOKEN pasted in</t>
  </si>
  <si>
    <t xml:space="preserve">Pytest config: puts src on the import path and sets tests as the test folder.</t>
  </si>
  <si>
    <t xml:space="preserve">pythonpath = src; testpaths = tests</t>
  </si>
  <si>
    <t xml:space="preserve">read by pytest; same file in every Python agent</t>
  </si>
  <si>
    <t xml:space="preserve">Lists packages for the Librarian: FastAPI stack, anthropic SDK, and chromadb (embedded vector DB with MiniLM embeddings).</t>
  </si>
  <si>
    <t xml:space="preserve">fastapi, uvicorn, pydantic, pydantic-settings, pytest, httpx plus agent-specific libs</t>
  </si>
  <si>
    <t xml:space="preserve">installed with pip into the agent's .venv</t>
  </si>
  <si>
    <t xml:space="preserve">Empty file that makes api a Python package.</t>
  </si>
  <si>
    <t xml:space="preserve">Empty file that makes core a Python package.</t>
  </si>
  <si>
    <t xml:space="preserve">Sets up structured JSON logging to stdout, one object per line, so logs can be searched by trace id.</t>
  </si>
  <si>
    <t xml:space="preserve">JsonFormatter (ts, level, logger, msg, exc); setup_logging() replaces root handlers, level INFO; quiets httpx logger</t>
  </si>
  <si>
    <t xml:space="preserve">called by src/main.py build_app(); identical file in every Python agent</t>
  </si>
  <si>
    <t xml:space="preserve">Logs record ids, counts and timings only, never secrets or PII, and one JSON line per event is easy to search in Splunk or Datadog.</t>
  </si>
  <si>
    <t xml:space="preserve">Empty file that makes llm a Python package.</t>
  </si>
  <si>
    <t xml:space="preserve">Empty file that makes rag a Python package.</t>
  </si>
  <si>
    <t xml:space="preserve">Empty file that makes schemas a Python package.</t>
  </si>
  <si>
    <t xml:space="preserve">Empty file that makes security a Python package.</t>
  </si>
  <si>
    <t xml:space="preserve">agents/python/portfolio-insights/src/analysis</t>
  </si>
  <si>
    <t xml:space="preserve">engine.py</t>
  </si>
  <si>
    <t xml:space="preserve">analyze_portfolio pipeline: code calls MCP tools in a fixed order, runs allocation, concentration and tax-loss checks, builds actions, then asks the narrator for a summary.</t>
  </si>
  <si>
    <t xml:space="preserve">analyze(): get_client_profile, get_holdings, get_recent_trades, get_security_info for harvestable lots; builds facts dict and AnalysisResult</t>
  </si>
  <si>
    <t xml:space="preserve">uses analysis/allocation.py, concentration.py, tax_loss.py, llm/narrator.py, mcp_client/client.py; called by api/app.py</t>
  </si>
  <si>
    <t xml:space="preserve">Code, not the LLM, decides which tools to run, which is predictable, cheap and auditable for a standard report.</t>
  </si>
  <si>
    <t xml:space="preserve">agents/python/portfolio-insights/src/api</t>
  </si>
  <si>
    <t xml:space="preserve">Builds the Analyst FastAPI app. /invoke runs analyze_portfolio or ask_portfolio against live data from MCP tools and maps MCP or LLM failures to error envelopes.</t>
  </si>
  <si>
    <t xml:space="preserve">GET /health (reports MCP up/down and tool count); GET /.well-known/agent.json; POST /invoke; GET /v1/tools (503 if MCP down); create_app(settings, mcp_target, llm_client) allows in-process injection</t>
  </si>
  <si>
    <t xml:space="preserve">calls analysis/engine.py, llm/tool_agent.py, llm/narrator.py, mcp_client/client.py, security/auth.py; called by the Conductor</t>
  </si>
  <si>
    <t xml:space="preserve">Dependency injection of the MCP target lets tests use an in-process fake server, and an MCP outage is reported as an error instead of a crash.</t>
  </si>
  <si>
    <t xml:space="preserve">agents/python/portfolio-insights/src/llm</t>
  </si>
  <si>
    <t xml:space="preserve">tool_agent.py</t>
  </si>
  <si>
    <t xml:space="preserve">ask_portfolio: Claude runs an agent loop choosing MCP tools for a free-form question, with an allowlist, client scope pinning and a turn limit.</t>
  </si>
  <si>
    <t xml:space="preserve">ALLOWED_TOOLS (get_client_profile, get_holdings, get_recent_trades, get_security_info); ToolAgent.ask(); max_agent_turns 6; LLMUnavailable</t>
  </si>
  <si>
    <t xml:space="preserve">called by api/app.py; uses mcp_client/client.py PortfolioTools</t>
  </si>
  <si>
    <t xml:space="preserve">Scope pinning overwrites any client_id Claude supplies, so a prompt-injected request cannot read another household.</t>
  </si>
  <si>
    <t xml:space="preserve">agents/python/portfolio-insights/src</t>
  </si>
  <si>
    <t xml:space="preserve">Starts the Analyst with uvicorn on 127.0.0.1:8002; the advisor-tools MCP server on 8500 must be started first.</t>
  </si>
  <si>
    <t xml:space="preserve">build_app(); __main__ runs uvicorn with settings.port</t>
  </si>
  <si>
    <t xml:space="preserve">imports api/app.py, core/config.py, core/log_setup.py; depends on MCP server :8500</t>
  </si>
  <si>
    <t xml:space="preserve">agents/python/portfolio-insights/src/mcp_client</t>
  </si>
  <si>
    <t xml:space="preserve">The only place that talks to the advisor-tools MCP server (streamable HTTP with a bearer token). Wraps connect, list_tools and call_tool and converts failures into clear exceptions.</t>
  </si>
  <si>
    <t xml:space="preserve">PortfolioTools async context manager; list_tools(); call() records each call; ToolCallError; MCPUnavailable; _root() unwraps ExceptionGroups; accepts an in-process server for tests</t>
  </si>
  <si>
    <t xml:space="preserve">calls MCP server :8500 /mcp; used by analysis/engine.py, llm/tool_agent.py, api/app.py</t>
  </si>
  <si>
    <t xml:space="preserve">The Analyst depends only on the MCP contract, so data could move to a real portfolio system without changing agent code.</t>
  </si>
  <si>
    <t xml:space="preserve">agents/python/portfolio-insights/src/schemas</t>
  </si>
  <si>
    <t xml:space="preserve">Pydantic models: shared agent contract, skill inputs and the outputs of analyze_portfolio and ask_portfolio.</t>
  </si>
  <si>
    <t xml:space="preserve">AnalyzeInput; AskInput (question 3-1000 chars); AllocationCheck; ConcentrationFlag; TaxLossIdea; AnalysisResult; AskResult</t>
  </si>
  <si>
    <t xml:space="preserve">used by api/app.py, analysis/*, llm/*</t>
  </si>
  <si>
    <t xml:space="preserve">allocation.py</t>
  </si>
  <si>
    <t xml:space="preserve">Check 1: compares current asset-class percentages to the target and flags classes more than 5 points off (rebalancing policy).</t>
  </si>
  <si>
    <t xml:space="preserve">check_allocation(); ASSET_CLASSES equity, fixed_income, cash; drift = current - target; flag if abs(drift) &gt; threshold</t>
  </si>
  <si>
    <t xml:space="preserve">called by analysis/engine.py; tested in tests/test_analysis.py</t>
  </si>
  <si>
    <t xml:space="preserve">All numbers are computed in code because LLMs are unreliable at arithmetic.</t>
  </si>
  <si>
    <t xml:space="preserve">concentration.py</t>
  </si>
  <si>
    <t xml:space="preserve">Check 2: flags single stocks above 10 percent (review) or 15 percent (escalate) of household assets, summing the same stock across accounts and ignoring funds.</t>
  </si>
  <si>
    <t xml:space="preserve">check_concentration(); filters security_type == 'stock'</t>
  </si>
  <si>
    <t xml:space="preserve">Getting the rule's scope right (stocks, not diversified funds) matters as much as the arithmetic.</t>
  </si>
  <si>
    <t xml:space="preserve">tax_loss.py</t>
  </si>
  <si>
    <t xml:space="preserve">Check 3: finds tax-loss harvesting ideas in taxable accounts with losses of at least $1,000 and flags wash-sale risk if the security was bought in any household account within 30 days.</t>
  </si>
  <si>
    <t xml:space="preserve">find_tax_loss_ideas(); recent_buys by symbol; note text says WAIT or suggests replacements</t>
  </si>
  <si>
    <t xml:space="preserve">The wash-sale check looks across all accounts including IRAs, which is the easy-to-miss part of the rule.</t>
  </si>
  <si>
    <t xml:space="preserve">agents/python/portfolio-insights/src/core</t>
  </si>
  <si>
    <t xml:space="preserve">Pydantic Settings for the Analyst: port, token, MCP URL and timeout, LLM settings, agent turn cap and the policy thresholds.</t>
  </si>
  <si>
    <t xml:space="preserve">Settings: port 8002 (ANALYST_PORT); mcp_advisor_tools_url http://127.0.0.1:8500/mcp; max_agent_turns 6; drift_threshold_pts 5; concentration 10/15; tlh_min_loss_usd 1000; wash_sale_days 30</t>
  </si>
  <si>
    <t xml:space="preserve">used by all modules</t>
  </si>
  <si>
    <t xml:space="preserve">Thresholds mirror the policy documents the Librarian indexes; in production they would come from one rules service.</t>
  </si>
  <si>
    <t xml:space="preserve">narrator.py</t>
  </si>
  <si>
    <t xml:space="preserve">Turns pre-computed facts into a 3-5 sentence summary. Claude only writes prose from the facts JSON; without a key or on failure a deterministic template writes it.</t>
  </si>
  <si>
    <t xml:space="preserve">SYSTEM prompt (use only numbers in facts); template_summary(); Narrator.summarize() returns (text, answered_by)</t>
  </si>
  <si>
    <t xml:space="preserve">called by analysis/engine.py via api/app.py</t>
  </si>
  <si>
    <t xml:space="preserve">The LLM explains numbers but never computes them, and a template fallback keeps the skill working without a key.</t>
  </si>
  <si>
    <t xml:space="preserve">agents/python/portfolio-insights/src/security</t>
  </si>
  <si>
    <t xml:space="preserve">Service-token authentication and a startup check that refuses a weak SERVICE_TOKEN. The same token is also sent to the MCP server.</t>
  </si>
  <si>
    <t xml:space="preserve">require_service(); check_startup_security()</t>
  </si>
  <si>
    <t xml:space="preserve">Same fail-closed pattern as the other agents.</t>
  </si>
  <si>
    <t xml:space="preserve">agents/python/portfolio-insights/tests</t>
  </si>
  <si>
    <t xml:space="preserve">Builds an in-process fake MCP server with the same tools and result shapes as advisor-tools, plus two sample households (busy-01, calm-02) and fixtures.</t>
  </si>
  <si>
    <t xml:space="preserve">build_fake_mcp(); SECURITIES; CLIENTS; pos(); settings, client, auth fixtures; invoke()</t>
  </si>
  <si>
    <t xml:space="preserve">used by test_api.py and test_analysis.py</t>
  </si>
  <si>
    <t xml:space="preserve">The fake server proves the Analyst depends only on the MCP contract, not on how data is stored.</t>
  </si>
  <si>
    <t xml:space="preserve">test_analysis.py</t>
  </si>
  <si>
    <t xml:space="preserve">Unit tests of the three pure checks: drift, concentration levels and scope, tax-loss rules and wash-sale detection across accounts.</t>
  </si>
  <si>
    <t xml:space="preserve">test_drift_and_flags; test_concentration_only_counts_stocks; test_wash_sale_detected_across_accounts</t>
  </si>
  <si>
    <t xml:space="preserve">tests analysis/allocation.py, concentration.py, tax_loss.py</t>
  </si>
  <si>
    <t xml:space="preserve">Boundary cases (exactly 5.0 points is not over threshold) are tested explicitly.</t>
  </si>
  <si>
    <t xml:space="preserve">End-to-end tests from HTTP to the fake MCP server: health, analysis of both households, error envelopes, MCP down handling, and the Claude tool loop with scope pinning.</t>
  </si>
  <si>
    <t xml:space="preserve">test_analyze_busy_household; test_mcp_down_is_reported_not_crashed; test_tool_loop_with_scope_pinning; test_refuses_weak_token</t>
  </si>
  <si>
    <t xml:space="preserve">exercises api/app.py, mcp_client/client.py, llm/tool_agent.py</t>
  </si>
  <si>
    <t xml:space="preserve">The scope pinning test has a scripted Claude request another client's data and asserts the call was rewritten to the right client.</t>
  </si>
  <si>
    <t xml:space="preserve">Template for environment variables for the Analyst: shared SERVICE_TOKEN, MCP server URL (127.0.0.1:8500), optional Anthropic key, and policy thresholds.</t>
  </si>
  <si>
    <t xml:space="preserve">Overview of the Analyst: purpose, port 8002, request flow, folder map and skills.</t>
  </si>
  <si>
    <t xml:space="preserve">Windows/PowerShell runbook for setting up the venv, starting the Analyst and running its tests.</t>
  </si>
  <si>
    <t xml:space="preserve">VS Code REST Client collection of manual HTTP requests against the Analyst on port 8002, with expected results noted in comments.</t>
  </si>
  <si>
    <t xml:space="preserve">Lists packages for the Analyst: FastAPI stack, anthropic SDK and the mcp client library (&gt;=2.3,&lt;3).</t>
  </si>
  <si>
    <t xml:space="preserve">Empty file that makes analysis a Python package.</t>
  </si>
  <si>
    <t xml:space="preserve">Empty file that makes mcp_client a Python package.</t>
  </si>
  <si>
    <t xml:space="preserve">agents/python/meeting-intel/src/api</t>
  </si>
  <si>
    <t xml:space="preserve">Builds the Scribe FastAPI app. /invoke routes two skills, summarize_meetings and extract_meeting; also lists stored meetings for a client.</t>
  </si>
  <si>
    <t xml:space="preserve">GET /health; GET /.well-known/agent.json; POST /invoke; GET /v1/meetings/{client_id}; client_id falls back to context.client_id; notes cap 20000 chars</t>
  </si>
  <si>
    <t xml:space="preserve">calls extract/service.py Scribe, notes/store.py, security/auth.py; called by the Conductor</t>
  </si>
  <si>
    <t xml:space="preserve">Extra input keys from the Conductor are filtered to the model's fields, and client_id is regex-validated to stop path tricks.</t>
  </si>
  <si>
    <t xml:space="preserve">agents/python/meeting-intel/src/extract</t>
  </si>
  <si>
    <t xml:space="preserve">llm.py</t>
  </si>
  <si>
    <t xml:space="preserve">Claude structured extraction: MeetingExtract schema becomes a forced tool call (record_meeting) and the result is validated with pydantic before use; failures return None.</t>
  </si>
  <si>
    <t xml:space="preserve">SYSTEM prompt; _inline_refs(); TOOL; ClaudeExtractor.extract(); notes in &lt;notes&gt; tags; max_tokens 1500</t>
  </si>
  <si>
    <t xml:space="preserve">called by extract/service.py; uses schemas/models.py MeetingExtract</t>
  </si>
  <si>
    <t xml:space="preserve">LLM output is never trusted: invalid structure is rejected and the caller falls back to rules.</t>
  </si>
  <si>
    <t xml:space="preserve">service.py</t>
  </si>
  <si>
    <t xml:space="preserve">Core Scribe pipeline: mask PII, extract with Claude (validated) or fall back to rules, add a pii_in_notes flag in code, cache by hash, and combine several meetings into one summary.</t>
  </si>
  <si>
    <t xml:space="preserve">Scribe.extract_one(); Scribe.summarize(); sha256 cache key; asyncio.gather over meetings; dedupes action items, concerns, life events</t>
  </si>
  <si>
    <t xml:space="preserve">uses extract/redact.py, llm.py, rules.py, notes/store.py; called by api/app.py</t>
  </si>
  <si>
    <t xml:space="preserve">The PII flag is added by code so it never depends on the model noticing, and the cache avoids paying twice for the same notes.</t>
  </si>
  <si>
    <t xml:space="preserve">agents/python/meeting-intel/src</t>
  </si>
  <si>
    <t xml:space="preserve">Starts the Scribe with uvicorn on 127.0.0.1:8003 via an app factory with auto-reload.</t>
  </si>
  <si>
    <t xml:space="preserve">agents/python/meeting-intel/src/schemas</t>
  </si>
  <si>
    <t xml:space="preserve">Pydantic models: shared agent contract, the MeetingExtract schema (used for the Claude tool schema, validation and rules output) and skill inputs and results.</t>
  </si>
  <si>
    <t xml:space="preserve">ActionItem; ComplianceFlag; MeetingExtract; SummarizeInput; ExtractInput; MeetingResult; SummarizeResult; client_id pattern ^[A-Za-z0-9_-]{1,64}$</t>
  </si>
  <si>
    <t xml:space="preserve">used by api/app.py, extract/*</t>
  </si>
  <si>
    <t xml:space="preserve">One schema serves the LLM path, validation and the rules path, so both return the same shape.</t>
  </si>
  <si>
    <t xml:space="preserve">agents/python/meeting-intel/src/core</t>
  </si>
  <si>
    <t xml:space="preserve">Pydantic Settings for the Scribe: port, token, notes folder, size limits, LLM settings.</t>
  </si>
  <si>
    <t xml:space="preserve">Settings: port 8003 (SCRIBE_PORT); notes_dir data/meetings; max_notes_chars 20000; max_meetings 5; llm_model claude-haiku-4-5-20251001; llm_timeout_s 45</t>
  </si>
  <si>
    <t xml:space="preserve">redact.py</t>
  </si>
  <si>
    <t xml:space="preserve">Masks SSN, email, phone and account numbers in meeting notes before they are sent to Claude.</t>
  </si>
  <si>
    <t xml:space="preserve">mask() returns masked text and labels found</t>
  </si>
  <si>
    <t xml:space="preserve">called by extract/service.py</t>
  </si>
  <si>
    <t xml:space="preserve">Notes come from storage and never pass through Sentinel, so the Scribe redacts PII itself (defense in depth).</t>
  </si>
  <si>
    <t xml:space="preserve">rules.py</t>
  </si>
  <si>
    <t xml:space="preserve">Rule-based extractor that works with no API key: finds action items, due dates, concerns, life events, compliance flags and next meeting with regexes.</t>
  </si>
  <si>
    <t xml:space="preserve">extract_with_rules(); _ADVISOR_ACTION; _CLIENT_ACTION; _due() (ISO date or 'by Month D'); _COMPLAINT; _TRADE_REQUEST; _LIFE_EVENTS</t>
  </si>
  <si>
    <t xml:space="preserve">called by extract/service.py as the no-key path and the LLM fallback; tested in tests/test_extraction.py</t>
  </si>
  <si>
    <t xml:space="preserve">Predictable rules are a useful fallback when the LLM is down, even though they miss unusual phrasing.</t>
  </si>
  <si>
    <t xml:space="preserve">agents/python/meeting-intel/src/notes</t>
  </si>
  <si>
    <t xml:space="preserve">Reads meeting notes from data/meetings/&lt;client_id&gt;/*.md with front matter (date, type, attendees); stands in for a CRM notes API.</t>
  </si>
  <si>
    <t xml:space="preserve">Meeting dataclass; NotesStore.meetings() (newest first, validates client_id); clients(); _front_matter() strips BOM</t>
  </si>
  <si>
    <t xml:space="preserve">called by extract/service.py and api/app.py; reads data/meetings</t>
  </si>
  <si>
    <t xml:space="preserve">Only this file would change if notes came from a real CRM, and the client_id regex blocks path traversal.</t>
  </si>
  <si>
    <t xml:space="preserve">agents/python/meeting-intel/src/security</t>
  </si>
  <si>
    <t xml:space="preserve">Service-token authentication and a startup check that refuses a weak SERVICE_TOKEN.</t>
  </si>
  <si>
    <t xml:space="preserve">agents/python/meeting-intel/tests</t>
  </si>
  <si>
    <t xml:space="preserve">Pytest fixtures: real sample notes, rules mode, and a FakeClaude that returns a fixed tool_use payload and records the text it was sent.</t>
  </si>
  <si>
    <t xml:space="preserve">FakeClaude; settings, client, auth fixtures; invoke()</t>
  </si>
  <si>
    <t xml:space="preserve">used by test_api.py and test_extraction.py</t>
  </si>
  <si>
    <t xml:space="preserve">End-to-end API tests: auth, listing meetings, summarizing the Garcia and Chen clients, client id from context, last_n, extracting pasted notes, and error envelopes.</t>
  </si>
  <si>
    <t xml:space="preserve">test_summarize_garcia; test_extract_pasted_notes; parametrized test_errors; test_refuses_weak_token</t>
  </si>
  <si>
    <t xml:space="preserve">exercises api/app.py with data/meetings</t>
  </si>
  <si>
    <t xml:space="preserve">test_extraction.py</t>
  </si>
  <si>
    <t xml:space="preserve">Unit tests for redaction, rule-based extraction and the Claude path using a fake client: PII never sent, invalid output falls back to rules, cache avoids a second LLM call.</t>
  </si>
  <si>
    <t xml:space="preserve">test_claude_path_used_and_pii_never_sent; test_invalid_claude_output_falls_back_to_rules; test_cache_avoids_second_llm_call</t>
  </si>
  <si>
    <t xml:space="preserve">tests extract/redact.py, rules.py, service.py</t>
  </si>
  <si>
    <t xml:space="preserve">The tests prove the raw SSN is masked before the LLM call and that bad LLM output does not break the response.</t>
  </si>
  <si>
    <t xml:space="preserve">Template for environment variables for the Scribe: shared SERVICE_TOKEN, optional Anthropic key, and optional port, notes folder and size limits.</t>
  </si>
  <si>
    <t xml:space="preserve">Overview of the Scribe: purpose, port 8003, request flow, folder map and skills.</t>
  </si>
  <si>
    <t xml:space="preserve">Windows/PowerShell runbook for setting up the venv, starting the Scribe and running its tests.</t>
  </si>
  <si>
    <t xml:space="preserve">VS Code REST Client collection of manual HTTP requests against the Scribe on port 8003, with expected results noted in comments.</t>
  </si>
  <si>
    <t xml:space="preserve">agents/python/meeting-intel/data/meetings/chen-002</t>
  </si>
  <si>
    <t xml:space="preserve">2026-06-02-annual-review.md</t>
  </si>
  <si>
    <t xml:space="preserve">Sample annual review notes for the Chen household (RMD timing, charitable giving) with a structured Action items list.</t>
  </si>
  <si>
    <t xml:space="preserve">read by notes/store.py; used by tests</t>
  </si>
  <si>
    <t xml:space="preserve">agents/python/meeting-intel/data/meetings/garcia-003</t>
  </si>
  <si>
    <t xml:space="preserve">2026-09-05-portfolio-review.md</t>
  </si>
  <si>
    <t xml:space="preserve">Sample free-form notes for the Garcia household: concentrated ABC stock, a trade request and a possible complaint, used to exercise compliance flags.</t>
  </si>
  <si>
    <t xml:space="preserve">read by notes/store.py; used by test_summarize_garcia</t>
  </si>
  <si>
    <t xml:space="preserve">agents/python/meeting-intel/data/meetings/patel-001</t>
  </si>
  <si>
    <t xml:space="preserve">2026-04-10-annual-review.md</t>
  </si>
  <si>
    <t xml:space="preserve">Sample April annual review notes for the Patel household with an Action items list.</t>
  </si>
  <si>
    <t xml:space="preserve">2026-07-14-midyear-checkin.md</t>
  </si>
  <si>
    <t xml:space="preserve">Sample mid-year notes for the Patel household, including a deliberate SSN in the text to trigger the pii_in_notes flag.</t>
  </si>
  <si>
    <t xml:space="preserve">read by notes/store.py; used by test_summarize_patel_from_stored_notes</t>
  </si>
  <si>
    <t xml:space="preserve">Lists packages for the Scribe: FastAPI stack, pydantic (also validates Claude output) and the anthropic SDK.</t>
  </si>
  <si>
    <t xml:space="preserve">Empty file that makes extract a Python package.</t>
  </si>
  <si>
    <t xml:space="preserve">Empty file that makes notes a Python package.</t>
  </si>
  <si>
    <t xml:space="preserve">agents/python/compliance-guard/src/api</t>
  </si>
  <si>
    <t xml:space="preserve">Builds the FastAPI app and defines Sentinel's endpoints. /invoke runs the guard_input or guard_output skill, writes an audit record, and returns the standard agent envelope.</t>
  </si>
  <si>
    <t xml:space="preserve">GET /health; GET /.well-known/agent.json (skills + JSON schemas); POST /invoke (service token); GET /v1/rules; middleware adds X-Trace-Id, nosniff, no-store; catch-all 500 handler; 20000-char text cap</t>
  </si>
  <si>
    <t xml:space="preserve">calls guards/engine.py, audit/audit_log.py, llm/classifier.py, security/auth.py; called by the Conductor (orchestrator)</t>
  </si>
  <si>
    <t xml:space="preserve">Errors come back as status:'error' in the envelope instead of HTTP failures, and every decision is audited with the trace id.</t>
  </si>
  <si>
    <t xml:space="preserve">agents/python/compliance-guard/src/audit</t>
  </si>
  <si>
    <t xml:space="preserve">audit_log.py</t>
  </si>
  <si>
    <t xml:space="preserve">Append-only JSON-lines audit log of every guard decision, written under a thread lock. Stores a SHA-256 fingerprint of the text, never the text.</t>
  </si>
  <si>
    <t xml:space="preserve">AuditLog.record(); fingerprint() (first 16 hex chars of sha256); logs/audit.jsonl</t>
  </si>
  <si>
    <t xml:space="preserve">called by api/app.py invoke(); writes logs/audit.jsonl</t>
  </si>
  <si>
    <t xml:space="preserve">Regulated firms must explain past decisions, and hashing the text means the log is not a second copy of client PII.</t>
  </si>
  <si>
    <t xml:space="preserve">agents/python/compliance-guard/src/guards</t>
  </si>
  <si>
    <t xml:space="preserve">GuardEngine implements the two skills. guard_input masks secrets and PII then scores prompt injection (block, ask LLM, or allow); guard_output masks leaks, removes promissory claims and appends disclosures.</t>
  </si>
  <si>
    <t xml:space="preserve">GuardEngine.guard_input; guard_output; _pii_findings; block at score &gt;= 0.8; LLM review at &gt;= 0.4 and blocks if confidence &gt;= 0.7</t>
  </si>
  <si>
    <t xml:space="preserve">uses guards/pii.py, injection.py, compliance.py, llm/classifier.py, schemas/models.py; called by api/app.py</t>
  </si>
  <si>
    <t xml:space="preserve">Inputs can be blocked but outputs are sanitized, because refusing an answer after the work is done helps no one.</t>
  </si>
  <si>
    <t xml:space="preserve">injection.py</t>
  </si>
  <si>
    <t xml:space="preserve">Rule-based prompt injection detector. Normalizes text (NFKC, strips zero-width characters, collapses spaces) then matches weighted regex rules and combines them as 1-(1-a)(1-b).</t>
  </si>
  <si>
    <t xml:space="preserve">INJECTION_RULES: INJ_OVERRIDE .9, INJ_PROMPT_LEAK .9, INJ_ROLE_HIJACK .8, INJ_DEV_MODE .6, INJ_ROLE_SPOOF .5, INJ_COMPLIANCE_BYPASS .7, INJ_EXFIL .6, INJ_ENCODED .3; normalize(); score_injection()</t>
  </si>
  <si>
    <t xml:space="preserve">used by guards/engine.py and listed by GET /v1/rules; tested in tests/test_rules.py</t>
  </si>
  <si>
    <t xml:space="preserve">Normalizing before matching defeats zero-width-space tricks, and combining weights means several weak signals add up to a block.</t>
  </si>
  <si>
    <t xml:space="preserve">pii.py</t>
  </si>
  <si>
    <t xml:space="preserve">Detects and masks PII and secrets with regex rules, replacing each match with a label such as [SSN] so the LLM still understands the sentence.</t>
  </si>
  <si>
    <t xml:space="preserve">PII_RULES (SSN, CARD with Luhn check, DOB, EMAIL, PHONE, ACCOUNT); SECRET_RULES (API keys, JWT); luhn_ok(); mask_pii(); mask_secrets()</t>
  </si>
  <si>
    <t xml:space="preserve">used by guards/engine.py; tested in tests/test_rules.py</t>
  </si>
  <si>
    <t xml:space="preserve">Order matters (SSN and card before generic account number) and card numbers need a Luhn validator, which cuts false positives.</t>
  </si>
  <si>
    <t xml:space="preserve">agents/python/compliance-guard/src/llm</t>
  </si>
  <si>
    <t xml:space="preserve">classifier.py</t>
  </si>
  <si>
    <t xml:space="preserve">Optional second opinion from Claude Haiku on borderline injection scores. Uses a forced tool call so the verdict is structured; returns None on any failure.</t>
  </si>
  <si>
    <t xml:space="preserve">Classifier Protocol; NoClassifier; ClaudeClassifier.classify (text[:4000] in &lt;text&gt; tags, tool 'classify'); build_classifier()</t>
  </si>
  <si>
    <t xml:space="preserve">called by guards/engine.py; reads core/config.py; tests swap in FakeClassifier</t>
  </si>
  <si>
    <t xml:space="preserve">The LLM only runs when rules are unsure, and a forced tool call means an attacker cannot talk it into replying 'safe' in free text.</t>
  </si>
  <si>
    <t xml:space="preserve">agents/python/compliance-guard/src</t>
  </si>
  <si>
    <t xml:space="preserve">Starts Sentinel with uvicorn on 127.0.0.1:8004 using an app factory with auto-reload.</t>
  </si>
  <si>
    <t xml:space="preserve">imports api/app.py, core/config.py, core/log_setup.py; started by hand or by the platform start scripts</t>
  </si>
  <si>
    <t xml:space="preserve">agents/python/compliance-guard/src/schemas</t>
  </si>
  <si>
    <t xml:space="preserve">Pydantic models: the shared agent contract (AgentRequest, AgentResponse, InvokeContext) and Sentinel's skill input and result types.</t>
  </si>
  <si>
    <t xml:space="preserve">AgentRequest; AgentResponse; GuardInput (text, kind request|answer|email); Finding; GuardResult (allowed, decision allow|sanitized|block, text, notes, findings, injection_score, llm_checked)</t>
  </si>
  <si>
    <t xml:space="preserve">used by api/app.py and guards/engine.py; the contract shape is copied in every agent</t>
  </si>
  <si>
    <t xml:space="preserve">agents/python/compliance-guard/src/security</t>
  </si>
  <si>
    <t xml:space="preserve">Service-token authentication. Only callers with the shared SERVICE_TOKEN may use protected endpoints, and the app refuses to start with a weak token.</t>
  </si>
  <si>
    <t xml:space="preserve">require_service() FastAPI dependency with hmac.compare_digest; check_startup_security() rejects empty, placeholder or under 24-char tokens</t>
  </si>
  <si>
    <t xml:space="preserve">used by api/app.py; same token as the Conductor</t>
  </si>
  <si>
    <t xml:space="preserve">Constant-time comparison stops timing attacks, and failing closed at startup means a security service never runs with a guessable token.</t>
  </si>
  <si>
    <t xml:space="preserve">agents/python/compliance-guard/src/core</t>
  </si>
  <si>
    <t xml:space="preserve">Pydantic Settings for Sentinel read from aurelius/.env then compliance-guard/.env: port, service token, LLM settings, injection thresholds, max text size and audit path.</t>
  </si>
  <si>
    <t xml:space="preserve">Settings: port 8004 (SENTINEL_PORT), service_token, llm_model claude-haiku-4-5-20251001, injection_block_score .8, injection_review_score .4, max_text_chars 20000; use_llm; audit_path</t>
  </si>
  <si>
    <t xml:space="preserve">used by every module; get_settings() is cached</t>
  </si>
  <si>
    <t xml:space="preserve">Policy thresholds are settings, not constants, so they can be tuned without code changes.</t>
  </si>
  <si>
    <t xml:space="preserve">compliance.py</t>
  </si>
  <si>
    <t xml:space="preserve">Output compliance rules modelled on FINRA 2210 style requirements: removes promissory claims and appends required disclosures once.</t>
  </si>
  <si>
    <t xml:space="preserve">PROMISSORY_RULES (CMP_GUARANTEE, CMP_NO_RISK, CMP_CERTAINTY); remove_promissory(); add_disclosure() for answer and email kinds</t>
  </si>
  <si>
    <t xml:space="preserve">used by guards/engine.py guard_output; tested in tests/test_rules.py</t>
  </si>
  <si>
    <t xml:space="preserve">It fixes and explains instead of blocking, and the disclosure is idempotent so it is never added twice.</t>
  </si>
  <si>
    <t xml:space="preserve">agents/python/compliance-guard/tests</t>
  </si>
  <si>
    <t xml:space="preserve">Shared pytest fixtures: Settings built in code with no .env, a FakeClassifier standing in for Claude, a temp audit log, and a TestClient.</t>
  </si>
  <si>
    <t xml:space="preserve">FakeClassifier (says injection if text contains 'pirate'); settings, client, auth fixtures; invoke_body()</t>
  </si>
  <si>
    <t xml:space="preserve">used by tests/test_api.py and test_rules.py</t>
  </si>
  <si>
    <t xml:space="preserve">Tests never need an API key or touch real logs, which keeps them fast and deterministic.</t>
  </si>
  <si>
    <t xml:space="preserve">End-to-end tests of the HTTP API: auth, PII masking, injection blocking, borderline LLM path, output fixes, secret leak, bad input envelopes, audit log content and weak-token refusal.</t>
  </si>
  <si>
    <t xml:space="preserve">test_invoke_requires_service_token; test_guard_input_blocks_injection; test_borderline_with_llm_classifier; test_audit_log_has_no_raw_text; test_refuses_to_start_with_weak_token</t>
  </si>
  <si>
    <t xml:space="preserve">exercises api/app.py via conftest client</t>
  </si>
  <si>
    <t xml:space="preserve">The audit test asserts the raw SSN never appears in the log file.</t>
  </si>
  <si>
    <t xml:space="preserve">test_rules.py</t>
  </si>
  <si>
    <t xml:space="preserve">Unit tests for each rule family: PII (positive and negative cases), Luhn, secrets, injection scores (including zero-width trick), compliance phrases and disclosure.</t>
  </si>
  <si>
    <t xml:space="preserve">parametrized test_pii_is_masked; test_not_pii; test_injection_high_score; test_injection_borderline; test_normal_questions_not_flagged</t>
  </si>
  <si>
    <t xml:space="preserve">tests guards/pii.py, injection.py, compliance.py</t>
  </si>
  <si>
    <t xml:space="preserve">False-positive tests (dollar amounts, 'ignore the market noise') prove the rules do not over-block normal advisor questions.</t>
  </si>
  <si>
    <t xml:space="preserve">Template for environment variables for Sentinel: shared SERVICE_TOKEN (required), optional Anthropic key for the borderline-injection classifier, and policy knobs.</t>
  </si>
  <si>
    <t xml:space="preserve">Overview of Sentinel: purpose, port 8004, request flow, folder map and skills.</t>
  </si>
  <si>
    <t xml:space="preserve">Windows/PowerShell runbook for setting up the venv, starting Sentinel and running its tests.</t>
  </si>
  <si>
    <t xml:space="preserve">VS Code REST Client collection of manual HTTP requests against Sentinel on port 8004, with expected results noted in comments.</t>
  </si>
  <si>
    <t xml:space="preserve">agents/python/compliance-guard/logs</t>
  </si>
  <si>
    <t xml:space="preserve">audit.jsonl</t>
  </si>
  <si>
    <t xml:space="preserve">Data</t>
  </si>
  <si>
    <t xml:space="preserve">Sample audit log generated by running Sentinel or its tests: one JSON line per decision with trace id, rules fired, injection score and text hash.</t>
  </si>
  <si>
    <t xml:space="preserve">written by audit/audit_log.py</t>
  </si>
  <si>
    <t xml:space="preserve">Lists the Python packages Sentinel needs: FastAPI stack, pydantic, and the anthropic SDK for the optional classifier.</t>
  </si>
  <si>
    <t xml:space="preserve">Empty file that makes audit a Python package.</t>
  </si>
  <si>
    <t xml:space="preserve">Empty file that makes guards a Python package.</t>
  </si>
  <si>
    <t xml:space="preserve">agents/node/client-comms/src</t>
  </si>
  <si>
    <t xml:space="preserve">app.ts</t>
  </si>
  <si>
    <t xml:space="preserve">Express 5 app for the Herald: trace/security headers, Swagger, public /health and agent card, token-protected /v1/rules and /invoke which dispatches draft_email and review_email and writes a draft audit entry.</t>
  </si>
  <si>
    <t xml:space="preserve">createApp(); /invoke (validate, run skill, audit with body hash, SkillError -&gt; status error); /health (shows mode, liaison_url); /v1/rules; onError</t>
  </si>
  <si>
    <t xml:space="preserve">Called by server.ts and tests; uses skills/index.ts, compose/composer.ts, compose/compliance.ts (listRules), audit.ts, auth.ts</t>
  </si>
  <si>
    <t xml:space="preserve">Same endpoint and error conventions as the Liaison and the Python agents, so the Conductor treats every agent identically.</t>
  </si>
  <si>
    <t xml:space="preserve">agents/node/client-comms/src/clients</t>
  </si>
  <si>
    <t xml:space="preserve">liaison.ts</t>
  </si>
  <si>
    <t xml:space="preserve">HTTP client that calls the Liaison's get_household skill with the shared bearer token, passes the trace id, times out after LIAISON_TIMEOUT_MS and retries once.</t>
  </si>
  <si>
    <t xml:space="preserve">LiaisonClient.getHousehold(); HouseholdLookup union; HouseholdSource interface; AbortSignal.timeout; 401 and 'No household' handling</t>
  </si>
  <si>
    <t xml:space="preserve">Called by composer.ts; calls Liaison POST /invoke on :8102</t>
  </si>
  <si>
    <t xml:space="preserve">Timeout, one retry and graceful degradation mean a slow or dead CRM yields a generic draft with a warning, not a failed request.</t>
  </si>
  <si>
    <t xml:space="preserve">agents/node/client-comms/src/compose</t>
  </si>
  <si>
    <t xml:space="preserve">compliance.ts</t>
  </si>
  <si>
    <t xml:space="preserve">Deterministic compliance pass for every email: removes promissory claims, masks SSN, card and account numbers, appends a risk disclosure when performance is mentioned, and warns about links and unfilled placeholders.</t>
  </si>
  <si>
    <t xml:space="preserve">PROMISSORY_RULES (CMP_GUARANTEE, CMP_NO_RISK, CMP_CERTAINTY); PII_RULES; EMAIL_DISCLOSURE; checkEmail(); redactForLlm(); listRules()</t>
  </si>
  <si>
    <t xml:space="preserve">Used by composer.ts, llm.ts (redactForLlm) and app.ts (/v1/rules); mirrors the Python Sentinel rules</t>
  </si>
  <si>
    <t xml:space="preserve">Same rules as the Sentinel, repeated here as defense in depth because the Herald can be called directly and client email is the riskiest output.</t>
  </si>
  <si>
    <t xml:space="preserve">composer.ts</t>
  </si>
  <si>
    <t xml:space="preserve">The Herald's pipeline: fetch household from the Liaison, detect intent and tone, build a template draft, optionally have Claude rewrite it, run the compliance pass, add household warnings and return a draft needing approval. Also handles review_email.</t>
  </si>
  <si>
    <t xml:space="preserve">Composer.draft(); Composer.review(); lookup() (unknown client = error, Liaison down = warn and degrade); householdWarnings(); SkillError; mode</t>
  </si>
  <si>
    <t xml:space="preserve">Called by skills/index.ts; uses clients/liaison.ts, compose/templates.ts, compose/llm.ts, compose/compliance.ts</t>
  </si>
  <si>
    <t xml:space="preserve">Code decides facts and compliance while the LLM only improves wording, and compliance runs after the LLM whatever it wrote.</t>
  </si>
  <si>
    <t xml:space="preserve">llm.ts</t>
  </si>
  <si>
    <t xml:space="preserve">Optional Claude rewrite of the template draft in the household's voice, using a forced tool call, Zod validation, redacted prompt, and a null return on any failure.</t>
  </si>
  <si>
    <t xml:space="preserve">ClaudeWriter.write(); SYSTEM prompt; TOOL write_email; householdFacts(); buildPrompt() (redactForLlm); EmailWriter and MessagesApi interfaces; 30 s timeout, maxRetries 1</t>
  </si>
  <si>
    <t xml:space="preserve">Called by composer.ts; uses @anthropic-ai/sdk, contract.ts EmailDraftSchema, compliance.ts</t>
  </si>
  <si>
    <t xml:space="preserve">Forced tool call, schema validation, minimum data (no emails or accounts) and treating advisor text as data are the LLM safety habits.</t>
  </si>
  <si>
    <t xml:space="preserve">templates.ts</t>
  </si>
  <si>
    <t xml:space="preserve">LLM-free email drafting: detects intent from the purpose, picks tone from the household's style note, and assembles greeting, opening, points, tasks, next review date and signature.</t>
  </si>
  <si>
    <t xml:space="preserve">detectIntent() regex rules; toneFromStyle(); templateDraft(); greeting(); formatDate(); KEY_POINTS_PLACEHOLDER</t>
  </si>
  <si>
    <t xml:space="preserve">Used by composer.ts; HouseholdInfo from types.ts; template also feeds llm.ts</t>
  </si>
  <si>
    <t xml:space="preserve">The template is both the fallback and the factual base given to Claude, so names, dates and tasks come from code.</t>
  </si>
  <si>
    <t xml:space="preserve">contract.ts</t>
  </si>
  <si>
    <t xml:space="preserve">Zod schemas for the agent contract, the draft_email and review_email inputs, and the shape Claude must return (subject and body).</t>
  </si>
  <si>
    <t xml:space="preserve">AgentRequest; ok()/fail() with agent 'herald'; DraftEmailInput (purpose, points&lt;=8, tone); ReviewEmailInput; EmailDraftSchema; ClientId</t>
  </si>
  <si>
    <t xml:space="preserve">Used by app.ts, skills/index.ts, compose/llm.ts, openapi.ts</t>
  </si>
  <si>
    <t xml:space="preserve">EmailDraftSchema validates the LLM output with Zod before use, so malformed model output falls back to the template.</t>
  </si>
  <si>
    <t xml:space="preserve">server.ts</t>
  </si>
  <si>
    <t xml:space="preserve">Starts the Herald: loads env, fails closed on a weak token, picks template or Claude drafting, wires Composer with the Liaison client, and listens on port 8101.</t>
  </si>
  <si>
    <t xml:space="preserve">loadEnvFiles(); checkStartupSecurity(); useLlm() -&gt; ClaudeWriter or null; new Composer(config, LiaisonClient, writer); createApp; listen</t>
  </si>
  <si>
    <t xml:space="preserve">Imports app.ts, clients/liaison.ts, compose/composer.ts, compose/llm.ts, config.ts, audit.ts</t>
  </si>
  <si>
    <t xml:space="preserve">Without an API key (or LLM_MOCK=true) the agent runs in template mode, so it works offline and costs nothing.</t>
  </si>
  <si>
    <t xml:space="preserve">agents/node/client-comms/src/skills</t>
  </si>
  <si>
    <t xml:space="preserve">index.ts</t>
  </si>
  <si>
    <t xml:space="preserve">Defines the two skills, draft_email and review_email, with descriptions, Zod inputs and Swagger examples; both delegate to Composer. No send skill exists.</t>
  </si>
  <si>
    <t xml:space="preserve">SKILLS {draft_email, review_email}; examples incl. compliance-fix cases</t>
  </si>
  <si>
    <t xml:space="preserve">Called by app.ts /invoke; run() calls compose/composer.ts; feeds openapi.ts and agent card</t>
  </si>
  <si>
    <t xml:space="preserve">The agent only drafts and checks; a human advisor approves and sends from their own mailbox.</t>
  </si>
  <si>
    <t xml:space="preserve">agents/node/client-comms/tests</t>
  </si>
  <si>
    <t xml:space="preserve">compose.test.ts</t>
  </si>
  <si>
    <t xml:space="preserve">Unit tests for compliance rules, intent and tone detection, templates, the Claude writer with a fake SDK, and Composer behavior (personalization, fallback, degradation, unknown client).</t>
  </si>
  <si>
    <t xml:space="preserve">Tests: promissory removal; PII masking; disclosure once; LLM prompt has no emails/phones; fallback on junk or throw; Liaison down or slow</t>
  </si>
  <si>
    <t xml:space="preserve">Imports src/compose/*, src/clients/liaison.ts, tests/helpers.ts</t>
  </si>
  <si>
    <t xml:space="preserve">Tests assert compliance still runs on LLM output and that the prompt is redacted, protecting the two key safety guarantees.</t>
  </si>
  <si>
    <t xml:space="preserve">package.json</t>
  </si>
  <si>
    <t xml:space="preserve">npm manifest: ES module project, Node 20.12+, scripts for build, start, dev, typecheck and test; deps express 5, zod 4, swagger-ui-express and @anthropic-ai/sdk.</t>
  </si>
  <si>
    <t xml:space="preserve">scripts build/start/dev/typecheck/test; dependencies</t>
  </si>
  <si>
    <t xml:space="preserve">Used by npm; main is dist/server.js</t>
  </si>
  <si>
    <t xml:space="preserve">audit.ts</t>
  </si>
  <si>
    <t xml:space="preserve">Draft log writing one JSON line per draft or review with rule hits and a SHA-256 fingerprint of the body, never the email text.</t>
  </si>
  <si>
    <t xml:space="preserve">AuditLog.record(); fingerprint() (sha256 first 16 hex); DraftAuditEntry</t>
  </si>
  <si>
    <t xml:space="preserve">Called by app.ts after each skill; writes logs/drafts.jsonl</t>
  </si>
  <si>
    <t xml:space="preserve">Fingerprint proves later which exact text was produced without storing client details in a log.</t>
  </si>
  <si>
    <t xml:space="preserve">auth.ts</t>
  </si>
  <si>
    <t xml:space="preserve">Express middleware that checks the Bearer SERVICE_TOKEN with a constant-time comparison; returns 401 otherwise.</t>
  </si>
  <si>
    <t xml:space="preserve">requireService(config); crypto.timingSafeEqual</t>
  </si>
  <si>
    <t xml:space="preserve">Applied in app.ts to /invoke and /v1/rules</t>
  </si>
  <si>
    <t xml:space="preserve">Constant-time comparison prevents timing leaks of the token.</t>
  </si>
  <si>
    <t xml:space="preserve">config.ts</t>
  </si>
  <si>
    <t xml:space="preserve">Reads Herald settings from environment, including the Liaison URL, Anthropic key and model, signature, length limits and audit file, and rejects weak tokens at startup.</t>
  </si>
  <si>
    <t xml:space="preserve">VERSION 0.1.0; getConfig() (HERALD_PORT 8101, LIAISON_URL, LIAISON_TIMEOUT_MS 5000, ANTHROPIC_API_KEY, LLM_MODEL, LLM_MOCK, ADVISOR_SIGNATURE, MAX_PURPOSE_CHARS, MAX_EMAIL_CHARS); useLlm(); checkStartupSecurity()</t>
  </si>
  <si>
    <t xml:space="preserve">Used by server.ts, app.ts, composer.ts, clients/liaison.ts, llm.ts, tests</t>
  </si>
  <si>
    <t xml:space="preserve">LLM_MOCK or a missing key switches to template mode through useLlm(), and the clock is injectable for tests.</t>
  </si>
  <si>
    <t xml:space="preserve">openapi.ts</t>
  </si>
  <si>
    <t xml:space="preserve">Generates the OpenAPI 3.1 document for Swagger from the same Zod schemas and skill examples used by the code.</t>
  </si>
  <si>
    <t xml:space="preserve">buildOpenApi(serverUrl); toSchema(); examples per skill</t>
  </si>
  <si>
    <t xml:space="preserve">Called by app.ts (/openapi.json, /docs); tested by tests/openapi.test.ts</t>
  </si>
  <si>
    <t xml:space="preserve">Generated docs cannot drift from validation.</t>
  </si>
  <si>
    <t xml:space="preserve">types.ts</t>
  </si>
  <si>
    <t xml:space="preserve">TypeScript types for the household data received from the Liaison and for the draft result returned by the Herald.</t>
  </si>
  <si>
    <t xml:space="preserve">HouseholdInfo; Intent; ComplianceReport; DraftResult (requires_approval: true, drafted_by)</t>
  </si>
  <si>
    <t xml:space="preserve">Used by composer.ts, templates.ts, llm.ts, clients/liaison.ts</t>
  </si>
  <si>
    <t xml:space="preserve">requires_approval is typed as the literal true, so a draft can never claim it is ready to send without a human.</t>
  </si>
  <si>
    <t xml:space="preserve">api.test.ts</t>
  </si>
  <si>
    <t xml:space="preserve">HTTP-level tests of the Herald: public endpoints, auth, draft_email and review_email through /invoke, error handling, and that the audit log has a fingerprint but not the email text.</t>
  </si>
  <si>
    <t xml:space="preserve">Tests: 401s; draft needs approval; client_id from context; 422 and 413; audit has hash only</t>
  </si>
  <si>
    <t xml:space="preserve">Uses tests/helpers.ts against src/app.ts</t>
  </si>
  <si>
    <t xml:space="preserve">helpers.ts</t>
  </si>
  <si>
    <t xml:space="preserve">Test fixtures: a fake Liaison HTTP server with sample households, a FakeMessages stand-in for the Anthropic SDK, and a helper that starts the real Herald app on a random port.</t>
  </si>
  <si>
    <t xml:space="preserve">HOUSEHOLDS; startFakeLiaison(); FakeMessages; TOKEN; startTestServer()</t>
  </si>
  <si>
    <t xml:space="preserve">Used by compose.test.ts, api.test.ts, openapi.test.ts; exercises LiaisonClient, Composer, ClaudeWriter</t>
  </si>
  <si>
    <t xml:space="preserve">Faking Liaison over real HTTP tests the real client (token, timeout), while faking Claude keeps tests free and deterministic.</t>
  </si>
  <si>
    <t xml:space="preserve">Template of environment variables for the Herald: SERVICE_TOKEN, ANTHROPIC_API_KEY, LLM_MOCK, LLM_MODEL, signature, port, Liaison URL and limits.</t>
  </si>
  <si>
    <t xml:space="preserve">SERVICE_TOKEN; ANTHROPIC_API_KEY; LLM_MOCK; LLM_MODEL; ADVISOR_SIGNATURE; HERALD_PORT; LIAISON_URL; LIAISON_TIMEOUT_MS; MAX_PURPOSE_CHARS; MAX_EMAIL_CHARS</t>
  </si>
  <si>
    <t xml:space="preserve">Read via src/config.ts</t>
  </si>
  <si>
    <t xml:space="preserve">.gitignore</t>
  </si>
  <si>
    <t xml:space="preserve">Excludes node_modules, dist, logs, tsbuildinfo and .env from git.</t>
  </si>
  <si>
    <t xml:space="preserve">Overview of the Herald: skills, the six-step drafting pipeline, security principles and how it relates to the Liaison and Claude.</t>
  </si>
  <si>
    <t xml:space="preserve">Describes agents/node/client-comms</t>
  </si>
  <si>
    <t xml:space="preserve">Windows PowerShell runbook for installing, starting both the Liaison and Herald, using Swagger and running tests (expects 45 passing).</t>
  </si>
  <si>
    <t xml:space="preserve">References crm-sync, README.md, api-tests.http</t>
  </si>
  <si>
    <t xml:space="preserve">REST Client collection of manual requests: public endpoints, draft_email cases (tone, compliance), review_email cases, rules, and error cases including the Liaison being stopped.</t>
  </si>
  <si>
    <t xml:space="preserve">Runs against live Herald on :8101 and Liaison on :8102</t>
  </si>
  <si>
    <t xml:space="preserve">agents/node/client-comms/logs</t>
  </si>
  <si>
    <t xml:space="preserve">drafts.jsonl</t>
  </si>
  <si>
    <t xml:space="preserve">Runtime draft log with recorded draft_email and review_email entries (rule fixes, warning counts, body hash and length). Git-ignored.</t>
  </si>
  <si>
    <t xml:space="preserve">Written by src/audit.ts</t>
  </si>
  <si>
    <t xml:space="preserve">logger.ts</t>
  </si>
  <si>
    <t xml:space="preserve">Tiny structured logger printing one JSON object per line, identical to the Liaison's logger.</t>
  </si>
  <si>
    <t xml:space="preserve">getLogger(name)</t>
  </si>
  <si>
    <t xml:space="preserve">Used by app.ts, clients/liaison.ts, compose/llm.ts, server.ts</t>
  </si>
  <si>
    <t xml:space="preserve">Common JSON format lets one trace_id search span agents.</t>
  </si>
  <si>
    <t xml:space="preserve">openapi.test.ts</t>
  </si>
  <si>
    <t xml:space="preserve">Verifies the OpenAPI document covers endpoints and skills and that Swagger examples work against the API.</t>
  </si>
  <si>
    <t xml:space="preserve">Tests: openapi 3.1; documented paths; examples valid</t>
  </si>
  <si>
    <t xml:space="preserve">Uses tests/helpers.ts, src/openapi.ts</t>
  </si>
  <si>
    <t xml:space="preserve">tsconfig.build.json</t>
  </si>
  <si>
    <t xml:space="preserve">Production build config compiling src to dist with source maps.</t>
  </si>
  <si>
    <t xml:space="preserve">extends ./tsconfig.json; outDir dist</t>
  </si>
  <si>
    <t xml:space="preserve">Used by npm run build / npm start</t>
  </si>
  <si>
    <t xml:space="preserve">tsconfig.json</t>
  </si>
  <si>
    <t xml:space="preserve">Base strict TypeScript config for editor and typecheck covering src and tests, NodeNext modules.</t>
  </si>
  <si>
    <t xml:space="preserve">strict; noUncheckedIndexedAccess; exactOptionalPropertyTypes; verbatimModuleSyntax</t>
  </si>
  <si>
    <t xml:space="preserve">Extended by tsconfig.build.json</t>
  </si>
  <si>
    <t xml:space="preserve">agents/node/crm-sync/src</t>
  </si>
  <si>
    <t xml:space="preserve">Builds the Express 5 app: trace-id and security-header middleware, Swagger at /docs, public /health and agent card, token-protected /v1/households and the /invoke skill dispatcher, plus error handlers.</t>
  </si>
  <si>
    <t xml:space="preserve">createApp(); /invoke (parse AgentRequest, look up skill, fill client_id from context, validate, run, audit writes); /health; /.well-known/agent.json; /v1/households[/:clientId]; onError (422 bad JSON, 413 big body, 500 no stack)</t>
  </si>
  <si>
    <t xml:space="preserve">Called by server.ts and tests/helpers.ts; uses auth.ts, contract.ts, openapi.ts, skills/index.ts, skills/views.ts, store/crmStore.ts, audit.ts</t>
  </si>
  <si>
    <t xml:space="preserve">Skill-level failures return HTTP 200 with status=error while contract violations return 422, matching the Python agents so the Conductor handles every agent the same way.</t>
  </si>
  <si>
    <t xml:space="preserve">Express middleware that checks the Bearer SERVICE_TOKEN using a constant-time comparison and returns 401 with WWW-Authenticate on failure.</t>
  </si>
  <si>
    <t xml:space="preserve">requireService(config); crypto.timingSafeEqual; length check first</t>
  </si>
  <si>
    <t xml:space="preserve">Applied in app.ts to /invoke and /v1/households routes</t>
  </si>
  <si>
    <t xml:space="preserve">Constant-time comparison avoids leaking the token through response timing.</t>
  </si>
  <si>
    <t xml:space="preserve">Zod schemas for the shared agent contract (AgentRequest with skill, input, context) and for each skill input; one schema gives validation, a TypeScript type and a JSON Schema.</t>
  </si>
  <si>
    <t xml:space="preserve">InvokeContext (trace_id, user_id, client_id?); AgentRequest; ok()/fail() envelope; ClientId regex; GetHousehold/ListTasks/AddTask/CompleteTask/LogNote inputs; describeZodError()</t>
  </si>
  <si>
    <t xml:space="preserve">Used by app.ts, skills/index.ts, openapi.ts; same JSON shape as the Python agents</t>
  </si>
  <si>
    <t xml:space="preserve">Strict regexes on ids and dates (client_id, T-1234, YYYY-MM-DD) validate input at the edge, so bad data never reaches the store.</t>
  </si>
  <si>
    <t xml:space="preserve">Starts the Liaison: loads .env files, builds config, refuses to start with a weak token, creates the store, audit log and Express app, and listens on port 8102.</t>
  </si>
  <si>
    <t xml:space="preserve">loadEnvFiles(); getConfig(); checkStartupSecurity() (fail closed); new CrmStore; new AuditLog; createApp(); app.listen</t>
  </si>
  <si>
    <t xml:space="preserve">Imports app.ts, config.ts, audit.ts, store/crmStore.ts, logger.ts; run by npm start / npm run dev</t>
  </si>
  <si>
    <t xml:space="preserve">The agent writes client data, so it fails closed at startup if SERVICE_TOKEN is missing, a placeholder or under 24 characters.</t>
  </si>
  <si>
    <t xml:space="preserve">agents/node/crm-sync/src/skills</t>
  </si>
  <si>
    <t xml:space="preserve">The skill table with 2 reads (get_household, list_tasks) and 3 writes (add_task, complete_task, log_note). Also masks SSN, account and card numbers in notes and derives idempotency keys.</t>
  </si>
  <si>
    <t xml:space="preserve">SKILLS map {description, input, writes, example, run}; maskNote() PII regexes; idempotencyKey() (explicit key or sha256 of trace_id+input); RangeError for notes over MAX_NOTE_CHARS</t>
  </si>
  <si>
    <t xml:space="preserve">Called by app.ts /invoke; feeds openapi.ts and the agent card; uses store/crmStore.ts and skills/views.ts</t>
  </si>
  <si>
    <t xml:space="preserve">Writes are idempotent: the key defaults to a hash of trace_id and input, so a Conductor retry returns the first result instead of duplicating a note or task.</t>
  </si>
  <si>
    <t xml:space="preserve">views.ts</t>
  </si>
  <si>
    <t xml:space="preserve">Builds what other agents may see of a household: masks emails and phones, flags overdue tasks, and returns only the 3 most recent notes.</t>
  </si>
  <si>
    <t xml:space="preserve">maskEmail() r***@domain; maskPhone() ***-***-1234; taskView() overdue flag; householdView()</t>
  </si>
  <si>
    <t xml:space="preserve">Called by skills/index.ts and app.ts (/v1/households/:id); types from types.ts</t>
  </si>
  <si>
    <t xml:space="preserve">Minimum-necessary: the CRM keeps full contacts but no other agent receives them, since advisors send emails from their own mailbox.</t>
  </si>
  <si>
    <t xml:space="preserve">agents/node/crm-sync/src/store</t>
  </si>
  <si>
    <t xml:space="preserve">crmStore.ts</t>
  </si>
  <si>
    <t xml:space="preserve">The CRM data layer over data/crm.json, seeded from crm.seed.json on first start. Writes are serialized through a promise queue, saved atomically via temp file plus rename, and deduplicated by idempotency key.</t>
  </si>
  <si>
    <t xml:space="preserve">CrmStore; household(); clientIds(); write(key, change) (queue, structuredClone draft, tmp+rename); renameWithRetry() for Windows locks; MAX_IDEMPOTENCY_KEYS=1000; NotFoundError</t>
  </si>
  <si>
    <t xml:space="preserve">Used by server.ts, app.ts, skills/index.ts and tests; reads data/crm.json and data/crm.seed.json</t>
  </si>
  <si>
    <t xml:space="preserve">Atomic rename plus a single-writer queue prevent file corruption and lost updates; swapping in Salesforce would only change this file.</t>
  </si>
  <si>
    <t xml:space="preserve">agents/node/crm-sync/tests</t>
  </si>
  <si>
    <t xml:space="preserve">node:test suite for the Liaison API: public endpoints, auth, masked reads, writes, idempotency, concurrency, audit contents and error cases.</t>
  </si>
  <si>
    <t xml:space="preserve">Tests: 401s and weak-token startup refusal; PII masking and overdue count; retry returns same note_id; 10 parallel add_task get unique ids; audit has no note text; error table</t>
  </si>
  <si>
    <t xml:space="preserve">Uses tests/helpers.ts against src/app.ts; run by npm test</t>
  </si>
  <si>
    <t xml:space="preserve">A concurrency test fires 10 simultaneous writes and checks unique ids and on-disk persistence, proving no lost updates.</t>
  </si>
  <si>
    <t xml:space="preserve">agents/node/crm-sync/data</t>
  </si>
  <si>
    <t xml:space="preserve">crm.seed.json</t>
  </si>
  <si>
    <t xml:space="preserve">Fictional seed CRM with three households (patel-001, chen-002, garcia-003) with members, preferences, accounts, tasks and notes; copied to crm.json on first start.</t>
  </si>
  <si>
    <t xml:space="preserve">next_ids {task 1100, note 5100}; three households; seeded overdue tasks T-1001 and T-1002</t>
  </si>
  <si>
    <t xml:space="preserve">Read by CrmStore constructor and scripts/reset-data.ts; assumed by tests</t>
  </si>
  <si>
    <t xml:space="preserve">npm manifest: ES module project, Node 20.12+, scripts for build, start, dev (tsx watch), typecheck, test and reset-data; deps express 5, zod 4, swagger-ui-express.</t>
  </si>
  <si>
    <t xml:space="preserve">scripts build/start/dev/typecheck/test/reset-data; dependencies; devDependencies tsx, typescript 7</t>
  </si>
  <si>
    <t xml:space="preserve">Used by npm; points main at dist/server.js</t>
  </si>
  <si>
    <t xml:space="preserve">Appends one JSON line per write to logs/audit.jsonl with timestamp, trace, user, skill, client and resulting ids.</t>
  </si>
  <si>
    <t xml:space="preserve">AuditLog.record(); AuditEntry (no note text)</t>
  </si>
  <si>
    <t xml:space="preserve">Called by app.ts after each write skill; written to logs/audit.jsonl</t>
  </si>
  <si>
    <t xml:space="preserve">The audit log records ids only, never note text, so the log itself holds no client details.</t>
  </si>
  <si>
    <t xml:space="preserve">Reads settings from the environment (loading the agent .env then the repo root .env with process.loadEnvFile) and rejects weak service tokens at startup.</t>
  </si>
  <si>
    <t xml:space="preserve">VERSION 0.2.0; getConfig() (LIAISON_PORT 8102, LIAISON_HOST, SERVICE_TOKEN, CRM_DATA_FILE, CRM_AUDIT_FILE, MAX_NOTE_CHARS 5000); loadEnvFiles(); checkStartupSecurity(); today() injectable clock</t>
  </si>
  <si>
    <t xml:space="preserve">Used by server.ts, app.ts, auth.ts, store, skills, scripts/reset-data.ts and tests</t>
  </si>
  <si>
    <t xml:space="preserve">The today() function is injected so tests can freeze the date and get predictable overdue flags.</t>
  </si>
  <si>
    <t xml:space="preserve">Generates the OpenAPI 3.1 document for Swagger UI from the same Zod schemas and SKILLS table the code uses, including one input schema and one example per skill.</t>
  </si>
  <si>
    <t xml:space="preserve">buildOpenApi(serverUrl); toSchema() via z.toJSONSchema; securitySchemes serviceToken; paths /health, /invoke, /v1/households</t>
  </si>
  <si>
    <t xml:space="preserve">Called by app.ts (served at /openapi.json and /docs); tested by tests/openapi.test.ts</t>
  </si>
  <si>
    <t xml:space="preserve">Docs are generated from the code, so Swagger cannot drift from validation, and a test runs every example against the real API.</t>
  </si>
  <si>
    <t xml:space="preserve">Compile-time TypeScript types for the CRM domain: Household, Member, Task, Note, CrmData and the masked HouseholdView returned to other agents.</t>
  </si>
  <si>
    <t xml:space="preserve">Household; Task; Note; CrmData (next_ids, idempotency); HouseholdView; TaskView</t>
  </si>
  <si>
    <t xml:space="preserve">Used by store/crmStore.ts, skills/views.ts, skills/index.ts, tests</t>
  </si>
  <si>
    <t xml:space="preserve">Types are erased at runtime, so incoming JSON is validated separately with Zod; HouseholdView is a distinct type to enforce masking.</t>
  </si>
  <si>
    <t xml:space="preserve">Starts the real Express app on a random port with a temp copy of the seed data and a frozen date of 2026-10-03, and exposes call() and invoke() helpers.</t>
  </si>
  <si>
    <t xml:space="preserve">startTestServer(); TOKEN; call(); invoke(); close()</t>
  </si>
  <si>
    <t xml:space="preserve">Used by api.test.ts and openapi.test.ts; builds CrmStore, AuditLog, createApp</t>
  </si>
  <si>
    <t xml:space="preserve">Tests run against a temp data dir and fixed clock, so they never touch data/crm.json and results are deterministic.</t>
  </si>
  <si>
    <t xml:space="preserve">Checks the OpenAPI document: version 3.1, all endpoints present, one schema and example per skill, bearer security, and that every Swagger example succeeds against the live API.</t>
  </si>
  <si>
    <t xml:space="preserve">Tests: documented paths; examples per skill; examples all return status ok; /docs serves swagger-ui</t>
  </si>
  <si>
    <t xml:space="preserve">Uses tests/helpers.ts, src/skills/index.ts, src/openapi.ts</t>
  </si>
  <si>
    <t xml:space="preserve">Executing every documented example guards against documentation drift.</t>
  </si>
  <si>
    <t xml:space="preserve">Template of environment variables for the Liaison: SERVICE_TOKEN plus optional port, host, data file, audit file and note length overrides.</t>
  </si>
  <si>
    <t xml:space="preserve">SERVICE_TOKEN; LIAISON_PORT; LIAISON_HOST; CRM_DATA_FILE; CRM_AUDIT_FILE; MAX_NOTE_CHARS</t>
  </si>
  <si>
    <t xml:space="preserve">Excludes node_modules, dist, live crm.json and its temp file, logs and tsbuildinfo from git.</t>
  </si>
  <si>
    <t xml:space="preserve">Overview of the Liaison: skills table, TypeScript setup, Swagger, safe-write lessons, Python versus TypeScript comparison, folder map, endpoints and security principles.</t>
  </si>
  <si>
    <t xml:space="preserve">Describes all files in agents/node/crm-sync</t>
  </si>
  <si>
    <t xml:space="preserve">Windows PowerShell runbook for installing, starting, calling via Swagger and testing the Liaison (expects 32 passing tests).</t>
  </si>
  <si>
    <t xml:space="preserve">References README.md, api-tests.http and .env</t>
  </si>
  <si>
    <t xml:space="preserve">REST Client collection of manual requests: public endpoints, auth, reads, writes with retry checks, and error cases (unknown household, bad date, no delete, bad JSON).</t>
  </si>
  <si>
    <t xml:space="preserve">Runs against a live server on :8102 using SERVICE_TOKEN</t>
  </si>
  <si>
    <t xml:space="preserve">crm.json</t>
  </si>
  <si>
    <t xml:space="preserve">Live working copy of the CRM data, created from the seed and modified by write skills; also stores the idempotency map. Git-ignored.</t>
  </si>
  <si>
    <t xml:space="preserve">households; next_ids (note counter advanced to 5102); idempotency keys</t>
  </si>
  <si>
    <t xml:space="preserve">Read and rewritten by store/crmStore.ts</t>
  </si>
  <si>
    <t xml:space="preserve">agents/node/crm-sync/logs</t>
  </si>
  <si>
    <t xml:space="preserve">Runtime audit log with three recorded log_note writes (including one duplicate retry) showing trace, user and note id only. Git-ignored.</t>
  </si>
  <si>
    <t xml:space="preserve">agents/node/crm-sync/scripts</t>
  </si>
  <si>
    <t xml:space="preserve">reset-data.ts</t>
  </si>
  <si>
    <t xml:space="preserve">Developer script that copies data/crm.seed.json over data/crm.json to restore sample data (run with the server stopped).</t>
  </si>
  <si>
    <t xml:space="preserve">copyFileSync(seedFile, dataFile); npm run reset-data</t>
  </si>
  <si>
    <t xml:space="preserve">Uses config.ts; reads data/crm.seed.json, writes data/crm.json</t>
  </si>
  <si>
    <t xml:space="preserve">Tiny structured logger that prints one JSON object per line (ts, level, logger, msg), in the same format as the Python agents.</t>
  </si>
  <si>
    <t xml:space="preserve">getLogger(name) with info/warn/error</t>
  </si>
  <si>
    <t xml:space="preserve">Used by server.ts and app.ts</t>
  </si>
  <si>
    <t xml:space="preserve">One log format across all agents lets a single trace_id search follow a request through the swarm.</t>
  </si>
  <si>
    <t xml:space="preserve">Production build config: extends the base, compiles only src to dist with source maps.</t>
  </si>
  <si>
    <t xml:space="preserve">extends ./tsconfig.json; outDir dist; rootDir src; noEmit false</t>
  </si>
  <si>
    <t xml:space="preserve">Base TypeScript config for editor and typecheck, covering src, tests and scripts with very strict options and NodeNext modules.</t>
  </si>
  <si>
    <t xml:space="preserve">strict; noUncheckedIndexedAccess; exactOptionalPropertyTypes; verbatimModuleSyntax; module NodeNext; types [node]</t>
  </si>
  <si>
    <t xml:space="preserve">Extended by tsconfig.build.json; used by npm run typecheck</t>
  </si>
  <si>
    <t xml:space="preserve">Strict flags catch undefined lookups and field typos at compile time, which matters for code that writes client data.</t>
  </si>
  <si>
    <t xml:space="preserve">agents/java/onboarding-kyc/src/main/java/com/aurelius/notary</t>
  </si>
  <si>
    <t xml:space="preserve">NotaryApplication.java</t>
  </si>
  <si>
    <t xml:space="preserve">Spring Boot main class. Loads the shared .env, refuses to start without a strong SERVICE_TOKEN, then starts the app.</t>
  </si>
  <si>
    <t xml:space="preserve">main(); VERSION 0.1.0; DotEnv.load; Checks.serviceToken; setDefaultProperties(dotenv)</t>
  </si>
  <si>
    <t xml:space="preserve">Calls support/DotEnv and support/Checks; Spring then scans config/AppConfig and web/ controllers</t>
  </si>
  <si>
    <t xml:space="preserve">Fail closed: the process exits with code 1 before Tomcat starts if the token is missing, a placeholder or under 24 chars. Real env vars override .env values.</t>
  </si>
  <si>
    <t xml:space="preserve">agents/java/onboarding-kyc/src/main/java/com/aurelius/notary/config</t>
  </si>
  <si>
    <t xml:space="preserve">AppConfig.java</t>
  </si>
  <si>
    <t xml:space="preserve">Spring @Configuration that builds every object once (store, screener, audit log, service, skill registry, filters) and prints the startup banner.</t>
  </si>
  <si>
    <t xml:space="preserve">objectMapper (snake_case, @Primary); Clock bean; kycStore; nameScreener; auditLog; kycService; skillRegistry; traceFilter order HIGHEST; serviceTokenFilter on /invoke and /v1/*</t>
  </si>
  <si>
    <t xml:space="preserve">Reads NotaryProperties; creates classes in kyc/, store/, screening/, skills/, web/</t>
  </si>
  <si>
    <t xml:space="preserve">Dependency injection keeps business classes free of Spring, and the injected Clock lets tests pin the date. The token filter covers only /invoke and /v1/*, so /health, /docs and the agent card stay public.</t>
  </si>
  <si>
    <t xml:space="preserve">agents/java/onboarding-kyc/src/main/java/com/aurelius/notary/kyc</t>
  </si>
  <si>
    <t xml:space="preserve">KycRules.java</t>
  </si>
  <si>
    <t xml:space="preserve">The KYC/AML rule book as pure functions: (client file, today) -&gt; sorted list of issues with severity and fix. Covers IDs, screening, address, W-9, risk questionnaire, source of funds, trusted contact, beneficiaries.</t>
  </si>
  <si>
    <t xml:space="preserve">RULES (14 rules; BLOCKER/ACTION/INFO); evaluate(); checkId (longest-valid ID wins); checkScreening; Settings(expiringWindowDays=60)</t>
  </si>
  <si>
    <t xml:space="preserve">Called by kyc/KycService.checkKyc and web/BrowseController /v1/rules; reads kyc/Model</t>
  </si>
  <si>
    <t xml:space="preserve">Compliance decisions are plain deterministic code, not an LLM: same answer every time, explainable rule by rule, unit-testable.</t>
  </si>
  <si>
    <t xml:space="preserve">KycService.java</t>
  </si>
  <si>
    <t xml:space="preserve">Use cases behind the four skills plus browse views. Builds the KYC report, masks document numbers, runs screening, records documents idempotently and writes the audit log.</t>
  </si>
  <si>
    <t xml:space="preserve">checkKyc (status blocked/action_needed/complete); listDocuments (****1234, state); screenName (records result, logs name hash); recordDocument (idempotency key, future-date check); clientSummaries</t>
  </si>
  <si>
    <t xml:space="preserve">Called by skills/SkillRegistry and web controllers; uses store/KycStore, store/AuditLog, screening/NameScreener, kyc/KycRules</t>
  </si>
  <si>
    <t xml:space="preserve">record_document is idempotent (explicit key or hash of trace plus content), and the audit log stores a SHA-256 fingerprint of the screened name rather than the name.</t>
  </si>
  <si>
    <t xml:space="preserve">agents/java/onboarding-kyc/src/main/java/com/aurelius/notary/screening</t>
  </si>
  <si>
    <t xml:space="preserve">NameScreener.java</t>
  </si>
  <si>
    <t xml:space="preserve">Fuzzy AML watchlist screening: normalizes names, scores with Jaro-Winkler (plain and word-sorted), adjusts by date of birth, and flags scores at or above the threshold as potential matches.</t>
  </si>
  <si>
    <t xml:space="preserve">screen(); similarity(); normalize (strip accents); jaroWinkler; DOB match +0.05, different birth year x0.85; load(); Entry/Match/Result records</t>
  </si>
  <si>
    <t xml:space="preserve">Called by kyc/KycService; loaded from data/watchlist.json via config/AppConfig; threshold from KYC_MATCH_THRESHOLD (0.88)</t>
  </si>
  <si>
    <t xml:space="preserve">Exact matching fails on spelling variants and word order, so it uses Jaro-Winkler; a hit is only a 'potential match' needing human review, never an automatic accusation.</t>
  </si>
  <si>
    <t xml:space="preserve">agents/java/onboarding-kyc/src/main/java/com/aurelius/notary/skills</t>
  </si>
  <si>
    <t xml:space="preserve">SkillInputs.java</t>
  </si>
  <si>
    <t xml:space="preserve">One record per skill input; each validates itself in its compact constructor (the Java counterpart of Zod schemas).</t>
  </si>
  <si>
    <t xml:space="preserve">CheckKycInput; ListDocumentsInput; ScreenNameInput (name regex, 2-letter country, member needs client); RecordDocumentInput (expires after issued, account_id for beneficiary forms); numberLast4()</t>
  </si>
  <si>
    <t xml:space="preserve">Used by skills/SkillRegistry and kyc/KycService</t>
  </si>
  <si>
    <t xml:space="preserve">Document numbers are cut to the last 4 characters at input time, so the full number never reaches storage or logs.</t>
  </si>
  <si>
    <t xml:space="preserve">SkillRegistry.java</t>
  </si>
  <si>
    <t xml:space="preserve">Single table of the four skills (check_kyc, list_documents, screen_name, record_document) with description, writes flag, input type, JSON schema, examples and handler. Validates and dispatches /invoke calls.</t>
  </si>
  <si>
    <t xml:space="preserve">Skill record; invoke(); run() fills client_id from context; readable() turns Jackson errors into plain messages; describe() for agent card; UnknownSkillException</t>
  </si>
  <si>
    <t xml:space="preserve">Called by web/AgentController, PublicController, config/OpenApiConfig; calls kyc/KycService</t>
  </si>
  <si>
    <t xml:space="preserve">One table feeds invoke, agent card and Swagger examples. Input JSON becomes a self-validating record via convertValue, and error text hides Java class names.</t>
  </si>
  <si>
    <t xml:space="preserve">agents/java/onboarding-kyc/src/main/java/com/aurelius/notary/store</t>
  </si>
  <si>
    <t xml:space="preserve">KycStore.java</t>
  </si>
  <si>
    <t xml:space="preserve">File-backed 'database' for KYC data (data/kyc.json, seeded from kyc.seed.json). Handles documents and screening writes safely.</t>
  </si>
  <si>
    <t xml:space="preserve">addDocument (idempotent via processed map); recordScreening; save() atomic temp-file rename; moveWithRetry (Windows locks); all methods synchronized</t>
  </si>
  <si>
    <t xml:space="preserve">Used by kyc/KycService; built in config/AppConfig with Json.newFileMapper</t>
  </si>
  <si>
    <t xml:space="preserve">Three write-safety habits: synchronized writes, atomic temp-file rename so a crash cannot leave half a file, and idempotency keys so retries are safe.</t>
  </si>
  <si>
    <t xml:space="preserve">agents/java/onboarding-kyc/src/main/java/com/aurelius/notary/support</t>
  </si>
  <si>
    <t xml:space="preserve">Checks.java</t>
  </si>
  <si>
    <t xml:space="preserve">Shared validation and security helpers.</t>
  </si>
  <si>
    <t xml:space="preserve">id() regex ^[A-Za-z0-9_-]{1,64}$; text(); serviceToken() rejects weak/&lt;24 chars; tokenEquals() constant time; sha256(); rootMessage()</t>
  </si>
  <si>
    <t xml:space="preserve">Used by NotaryApplication, filters, skill inputs, contract records, KycService</t>
  </si>
  <si>
    <t xml:space="preserve">Id whitelist blocks path traversal like '../'; constant-time compare and fail-closed token check are the core auth hygiene.</t>
  </si>
  <si>
    <t xml:space="preserve">agents/java/onboarding-kyc/src/main/java/com/aurelius/notary/web</t>
  </si>
  <si>
    <t xml:space="preserve">AgentController.java</t>
  </si>
  <si>
    <t xml:space="preserve">POST /invoke, the swarm's agent contract: takes {skill, input, context} and returns {agent, status, output, error}.</t>
  </si>
  <si>
    <t xml:space="preserve">invoke(); skill errors return HTTP 200 with status 'error'; logs skill, client, ms, trace</t>
  </si>
  <si>
    <t xml:space="preserve">Calls skills/SkillRegistry; called by the Conductor; protected by web/ServiceTokenFilter</t>
  </si>
  <si>
    <t xml:space="preserve">Skill failures (bad input, unknown client) are 200 with status 'error', while contract failures (not JSON, no context) are 422, matching every other agent.</t>
  </si>
  <si>
    <t xml:space="preserve">ServiceTokenFilter.java</t>
  </si>
  <si>
    <t xml:space="preserve">Servlet filter requiring 'Authorization: Bearer SERVICE_TOKEN' on /invoke and /v1/*; replies 401 with WWW-Authenticate otherwise.</t>
  </si>
  <si>
    <t xml:space="preserve">doFilter(); Checks.tokenEquals constant-time compare; empty expected token rejects everything</t>
  </si>
  <si>
    <t xml:space="preserve">Registered in config/AppConfig; uses support/Checks and web/JsonReply</t>
  </si>
  <si>
    <t xml:space="preserve">Constant-time comparison avoids leaking the token through timing, and an empty configured token denies all requests.</t>
  </si>
  <si>
    <t xml:space="preserve">TraceFilter.java</t>
  </si>
  <si>
    <t xml:space="preserve">First filter on every request: reuses or creates X-Trace-Id, adds security headers, and rejects bodies over 64 KB.</t>
  </si>
  <si>
    <t xml:space="preserve">TRACE_ATTR; MAX_BODY_BYTES 64KB; SAFE_TRACE regex; X-Content-Type-Options nosniff; Cache-Control no-store; 413 on big body</t>
  </si>
  <si>
    <t xml:space="preserve">Registered in config/AppConfig at highest precedence; trace id read by web/ApiErrorHandler and logs</t>
  </si>
  <si>
    <t xml:space="preserve">Unsafe trace ids are replaced instead of echoed, preventing header or log injection; the size cap is enforced before any parsing.</t>
  </si>
  <si>
    <t xml:space="preserve">agents/java/onboarding-kyc/data</t>
  </si>
  <si>
    <t xml:space="preserve">kyc.seed.json</t>
  </si>
  <si>
    <t xml:space="preserve">Seed KYC files for three demo households (patel-001, chen-002, garcia-003) with members, accounts, documents and screenings. Copied to data/kyc.json on first start.</t>
  </si>
  <si>
    <t xml:space="preserve">Read by store/KycStore; drives test expectations (Patel needs action, Garcia is blocked)</t>
  </si>
  <si>
    <t xml:space="preserve">NotaryProperties.java</t>
  </si>
  <si>
    <t xml:space="preserve">Typed record bound to the notary: block of application.yml.</t>
  </si>
  <si>
    <t xml:space="preserve">serviceToken; dataFile; seedFile; watchlistFile; auditFile; expiringWindowDays; matchThreshold</t>
  </si>
  <si>
    <t xml:space="preserve">Bound from resources/application.yml; used by config/AppConfig</t>
  </si>
  <si>
    <t xml:space="preserve">One immutable typed settings object replaces scattered @Value strings.</t>
  </si>
  <si>
    <t xml:space="preserve">OpenApiConfig.java</t>
  </si>
  <si>
    <t xml:space="preserve">Customizes Swagger/OpenAPI: title, serviceToken bearer scheme (Authorize button), snake_case schemas, and one example per skill in the /invoke dropdown.</t>
  </si>
  <si>
    <t xml:space="preserve">notaryOpenApi; modelResolver (copy of our mapper); skillExamples customizer reading SkillRegistry.all()</t>
  </si>
  <si>
    <t xml:space="preserve">Reads skills/SkillRegistry; used by springdoc at /docs and /openapi.json</t>
  </si>
  <si>
    <t xml:space="preserve">Swagger examples are generated from the same skill table that runs the code, so docs cannot drift; a test (everySwaggerExampleWorks) executes each one.</t>
  </si>
  <si>
    <t xml:space="preserve">agents/java/onboarding-kyc/src/main/java/com/aurelius/notary/contract</t>
  </si>
  <si>
    <t xml:space="preserve">AgentRequest.java</t>
  </si>
  <si>
    <t xml:space="preserve">Record for the /invoke body {skill, input, context} that validates itself while Jackson deserializes it.</t>
  </si>
  <si>
    <t xml:space="preserve">compact constructor: skill 1-64 chars, input defaults to empty map, context required</t>
  </si>
  <si>
    <t xml:space="preserve">Used by web/AgentController; context is contract/InvokeContext</t>
  </si>
  <si>
    <t xml:space="preserve">An invalid request cannot become an object, so it fails as HTTP 422 before any skill runs.</t>
  </si>
  <si>
    <t xml:space="preserve">AgentResponse.java</t>
  </si>
  <si>
    <t xml:space="preserve">Reply envelope shared by all agents: agent, status, output, error.</t>
  </si>
  <si>
    <t xml:space="preserve">AGENT='notary'; ok(output); fail(error)</t>
  </si>
  <si>
    <t xml:space="preserve">Returned by web/AgentController</t>
  </si>
  <si>
    <t xml:space="preserve">InvokeContext.java</t>
  </si>
  <si>
    <t xml:space="preserve">Caller context on every request: trace id, user id and optional client id.</t>
  </si>
  <si>
    <t xml:space="preserve">InvokeContext(traceId, userId, clientId); Checks.text rejects control characters</t>
  </si>
  <si>
    <t xml:space="preserve">Used by AgentRequest, skills, KycService audit entries</t>
  </si>
  <si>
    <t xml:space="preserve">Rejecting control characters in ids prevents log injection.</t>
  </si>
  <si>
    <t xml:space="preserve">Model.java</t>
  </si>
  <si>
    <t xml:space="preserve">Immutable Java records for the KYC data: DocType enum, Screening, Member, Account, Document, ClientFile, KycData (clients, processed idempotency keys, next doc number).</t>
  </si>
  <si>
    <t xml:space="preserve">Member.ageOn/isAdultOn/withScreening; Account.needsBeneficiary (IRA, ROTH_IRA, 401K); ClientFile.withDocument/withMember/docsOf (verified only)</t>
  </si>
  <si>
    <t xml:space="preserve">Used by KycRules, KycService, KycStore and JSON (de)serialization of data/kyc.json</t>
  </si>
  <si>
    <t xml:space="preserve">Records are immutable: updates create new objects, so no thread sees a half-updated client.</t>
  </si>
  <si>
    <t xml:space="preserve">AuditLog.java</t>
  </si>
  <si>
    <t xml:space="preserve">Append-only JSON-lines audit trail (logs/audit.jsonl) of every screening and document write, with timestamp, trace id and user id.</t>
  </si>
  <si>
    <t xml:space="preserve">record() synchronized append; file()</t>
  </si>
  <si>
    <t xml:space="preserve">Called by kyc/KycService; path from KYC_AUDIT_FILE</t>
  </si>
  <si>
    <t xml:space="preserve">AML needs proof of who screened whom and when; the log keeps hashes instead of names.</t>
  </si>
  <si>
    <t xml:space="preserve">Json.java</t>
  </si>
  <si>
    <t xml:space="preserve">Central Jackson mapper factory: snake_case names, ISO dates, case-insensitive enums, ignore unknown fields; file variant skips nulls and indents.</t>
  </si>
  <si>
    <t xml:space="preserve">newMapper(); newFileMapper()</t>
  </si>
  <si>
    <t xml:space="preserve">Used by config/AppConfig, KycStore, tests</t>
  </si>
  <si>
    <t xml:space="preserve">One place decides JSON shape, so Java camelCase fields still match the swarm's snake_case contract.</t>
  </si>
  <si>
    <t xml:space="preserve">ApiErrorHandler.java</t>
  </si>
  <si>
    <t xml:space="preserve">@RestControllerAdvice mapping exceptions to {detail: ...} JSON errors: 422 invalid request, 404 not found, 500 generic.</t>
  </si>
  <si>
    <t xml:space="preserve">unreadable (422); notFound (404); badArgument (422); other() keeps Spring status codes, else logs and returns 'Internal error' with trace_id</t>
  </si>
  <si>
    <t xml:space="preserve">Catches errors from controllers and contract/ records; uses TraceFilter.TRACE_ATTR</t>
  </si>
  <si>
    <t xml:space="preserve">Never leaks stack traces or internal messages to callers; the full error is logged with the trace id.</t>
  </si>
  <si>
    <t xml:space="preserve">BrowseController.java</t>
  </si>
  <si>
    <t xml:space="preserve">Read-only REST views for exploring KYC files.</t>
  </si>
  <si>
    <t xml:space="preserve">GET /v1/clients; GET /v1/clients/{clientId}/kyc; GET /v1/rules</t>
  </si>
  <si>
    <t xml:space="preserve">Calls kyc/KycService and KycRules.RULES; token required via ServiceTokenFilter</t>
  </si>
  <si>
    <t xml:space="preserve">Path ids are validated with Checks.id, so a bad id is 422 and an unknown id is 404.</t>
  </si>
  <si>
    <t xml:space="preserve">PublicController.java</t>
  </si>
  <si>
    <t xml:space="preserve">Unauthenticated endpoints: liveness and the agent card listing skills and their schemas.</t>
  </si>
  <si>
    <t xml:space="preserve">GET /health (clients, watchlist_entries); GET /.well-known/agent.json</t>
  </si>
  <si>
    <t xml:space="preserve">Uses KycService, NameScreener, SkillRegistry.describe(); read by the Conductor for discovery</t>
  </si>
  <si>
    <t xml:space="preserve">The agent card is generated from the skill table, so the Conductor always sees the real skills.</t>
  </si>
  <si>
    <t xml:space="preserve">agents/java/onboarding-kyc/src/main/resources</t>
  </si>
  <si>
    <t xml:space="preserve">application.yml</t>
  </si>
  <si>
    <t xml:space="preserve">Spring settings: port 8201, localhost bind, notary.* data/watchlist/audit paths, 60-day expiry window, 0.88 match threshold, Swagger paths, ECS JSON logging.</t>
  </si>
  <si>
    <t xml:space="preserve">server.port NOTARY_PORT; notary.service-token SERVICE_TOKEN; KYC_* env overrides; springdoc /docs; stacktrace never</t>
  </si>
  <si>
    <t xml:space="preserve">Bound by config/NotaryProperties; values overridable by env or .env</t>
  </si>
  <si>
    <t xml:space="preserve">Binds to 127.0.0.1 by default and never includes stack traces in error responses.</t>
  </si>
  <si>
    <t xml:space="preserve">agents/java/onboarding-kyc/src/test/java/com/aurelius/notary</t>
  </si>
  <si>
    <t xml:space="preserve">ApiIntegrationTest.java</t>
  </si>
  <si>
    <t xml:space="preserve">Starts the real Spring server on a random port and calls it over HTTP with a temp data dir, test token and fixed clock.</t>
  </si>
  <si>
    <t xml:space="preserve">health and security headers; 401 without token; snake_case output; skill errors are status error; 422 and 413; browse endpoints; Swagger; every Swagger example executes</t>
  </si>
  <si>
    <t xml:space="preserve">Tests web/, config/ and the whole app</t>
  </si>
  <si>
    <t xml:space="preserve">Integration tests prove the filter order and error mapping, not just the business logic.</t>
  </si>
  <si>
    <t xml:space="preserve">KycRulesTest.java</t>
  </si>
  <si>
    <t xml:space="preserve">Tests the rule book on seed data and hand-made clients.</t>
  </si>
  <si>
    <t xml:space="preserve">Patel one action (expiring license); Chen 65+ stale paperwork; Garcia blocked by Luis not the minor; blockers first; expired vs expiring; unverified docs ignored; every rule documented</t>
  </si>
  <si>
    <t xml:space="preserve">Tests kyc/KycRules</t>
  </si>
  <si>
    <t xml:space="preserve">Deterministic rules are verified against known households and edge dates.</t>
  </si>
  <si>
    <t xml:space="preserve">NameScreenerTest.java</t>
  </si>
  <si>
    <t xml:space="preserve">Tests fuzzy screening.</t>
  </si>
  <si>
    <t xml:space="preserve">Jaro-Winkler textbook value 0.961; accent normalization; spelling variant and word order caught; DOB turns a false positive into clear</t>
  </si>
  <si>
    <t xml:space="preserve">Tests screening/NameScreener</t>
  </si>
  <si>
    <t xml:space="preserve">Anchoring the algorithm to the textbook Martha/Marhta value proves the implementation is correct.</t>
  </si>
  <si>
    <t xml:space="preserve">SkillsTest.java</t>
  </si>
  <si>
    <t xml:space="preserve">Runs the four skills through the registry end to end.</t>
  </si>
  <si>
    <t xml:space="preserve">every example works; client_id from context; readable validation errors; list_documents masks numbers; record renewed license fixes Patel; full number never stored; audit has hashes; data survives restart</t>
  </si>
  <si>
    <t xml:space="preserve">Tests skills/SkillRegistry, KycService, KycStore, AuditLog</t>
  </si>
  <si>
    <t xml:space="preserve">Tests privacy (no full document number, no names in audit) and persistence, not only happy paths.</t>
  </si>
  <si>
    <t xml:space="preserve">TestSupport.java</t>
  </si>
  <si>
    <t xml:space="preserve">Builds the whole agent without Spring: temp copy of seed data, fixed clock 2026-10-03, helpers.</t>
  </si>
  <si>
    <t xml:space="preserve">FIXED clock; service/registry factories</t>
  </si>
  <si>
    <t xml:space="preserve">Used by all other Notary tests</t>
  </si>
  <si>
    <t xml:space="preserve">Plain classes plus an injected clock let tests build everything with 'new' in milliseconds and keep date-based results stable.</t>
  </si>
  <si>
    <t xml:space="preserve">Template of environment variables for the Notary (SERVICE_TOKEN plus optional port, file paths, expiry window, match threshold).</t>
  </si>
  <si>
    <t xml:space="preserve">SERVICE_TOKEN; NOTARY_PORT; KYC_DATA_FILE; KYC_WATCHLIST_FILE; KYC_AUDIT_FILE; KYC_EXPIRING_WINDOW_DAYS; KYC_MATCH_THRESHOLD</t>
  </si>
  <si>
    <t xml:space="preserve">Read by support/DotEnv; mirrors application.yml</t>
  </si>
  <si>
    <t xml:space="preserve">Ignores build output, logs, the working data copy data/kyc.json, .env and IDE files.</t>
  </si>
  <si>
    <t xml:space="preserve">target/; logs/; data/kyc.json; .env</t>
  </si>
  <si>
    <t xml:space="preserve">agents/java/onboarding-kyc/.mvn</t>
  </si>
  <si>
    <t xml:space="preserve">maven.config</t>
  </si>
  <si>
    <t xml:space="preserve">Maven option that keeps the local repository inside the project (.m2/repository).</t>
  </si>
  <si>
    <t xml:space="preserve">-Dmaven.repo.local=.m2/repository</t>
  </si>
  <si>
    <t xml:space="preserve">Read automatically by mvn</t>
  </si>
  <si>
    <t xml:space="preserve">Component overview: port, skills, rule book table, no-LLM rationale, data files and how it connects to the Conductor.</t>
  </si>
  <si>
    <t xml:space="preserve">Windows start and test runbook: installing Maven, mvn test (39 tests), running the server, Swagger use and troubleshooting.</t>
  </si>
  <si>
    <t xml:space="preserve">REST Client collection of manual requests with EXPECT comments for health, agent card, all four skills, browse endpoints and error cases.</t>
  </si>
  <si>
    <t xml:space="preserve">Run against a live server at :8201 with SERVICE_TOKEN pasted in</t>
  </si>
  <si>
    <t xml:space="preserve">watchlist.json</t>
  </si>
  <si>
    <t xml:space="preserve">Fictional demo AML watchlist: 5 entries with aliases, dob, country and program.</t>
  </si>
  <si>
    <t xml:space="preserve">Loaded by screening/NameScreener</t>
  </si>
  <si>
    <t xml:space="preserve">pom.xml</t>
  </si>
  <si>
    <t xml:space="preserve">Maven build: Spring Boot 3.5.6 parent, Java 21, web starter, springdoc Swagger UI 2.8.9, test starter; builds target/notary.jar.</t>
  </si>
  <si>
    <t xml:space="preserve">spring-boot-starter-web; springdoc-openapi-starter-webmvc-ui; spring-boot-maven-plugin; finalName notary</t>
  </si>
  <si>
    <t xml:space="preserve">Used by mvn test / spring-boot:run / package</t>
  </si>
  <si>
    <t xml:space="preserve">NotFoundException.java</t>
  </si>
  <si>
    <t xml:space="preserve">Exception for an unknown client. Becomes status 'error' on /invoke or HTTP 404 on browse endpoints.</t>
  </si>
  <si>
    <t xml:space="preserve">NotFoundException</t>
  </si>
  <si>
    <t xml:space="preserve">Thrown by kyc/KycService; caught in web/AgentController and web/ApiErrorHandler</t>
  </si>
  <si>
    <t xml:space="preserve">DotEnv.java</t>
  </si>
  <si>
    <t xml:space="preserve">Tiny .env parser. Merges the first .env found in a parent folder (shared aurelius .env) with the agent's own .env, agent file winning.</t>
  </si>
  <si>
    <t xml:space="preserve">parse() handles comments, export, quotes, inline #; load(Path)</t>
  </si>
  <si>
    <t xml:space="preserve">Called by NotaryApplication.main</t>
  </si>
  <si>
    <t xml:space="preserve">All agents share one .env while each can override locally; no extra library needed.</t>
  </si>
  <si>
    <t xml:space="preserve">JsonReply.java</t>
  </si>
  <si>
    <t xml:space="preserve">Helper that writes small JSON error replies from servlet filters, which run before Spring MVC.</t>
  </si>
  <si>
    <t xml:space="preserve">send(response, status, detail)</t>
  </si>
  <si>
    <t xml:space="preserve">Used by ServiceTokenFilter and TraceFilter</t>
  </si>
  <si>
    <t xml:space="preserve">Only constant messages are passed in, so no JSON escaping of user text is needed.</t>
  </si>
  <si>
    <t xml:space="preserve">SupportTest.java</t>
  </si>
  <si>
    <t xml:space="preserve">Tests .env parsing, weak-token rejection, constant-time token compare and control-character rejection.</t>
  </si>
  <si>
    <t xml:space="preserve">parsesDotEnvLikeTheOtherAgents; weakTokensAreRejected; tokenCompare; controlCharactersAreRejected</t>
  </si>
  <si>
    <t xml:space="preserve">Tests support/DotEnv and Checks</t>
  </si>
  <si>
    <t xml:space="preserve">agents/java/risk-engine/src/main/java/com/aurelius/actuary</t>
  </si>
  <si>
    <t xml:space="preserve">ActuaryApplication.java</t>
  </si>
  <si>
    <t xml:space="preserve">Spring Boot main class. Loads the shared .env, fails closed on a weak SERVICE_TOKEN, then starts the app.</t>
  </si>
  <si>
    <t xml:space="preserve">main(); VERSION 0.1.0; DotEnv.load; Checks.serviceToken</t>
  </si>
  <si>
    <t xml:space="preserve">Calls support/DotEnv and Checks; Spring then wires config/AppConfig and web/</t>
  </si>
  <si>
    <t xml:space="preserve">Refuses to start without a 24+ char token, and real env vars override .env.</t>
  </si>
  <si>
    <t xml:space="preserve">agents/java/risk-engine/src/main/java/com/aurelius/actuary/config</t>
  </si>
  <si>
    <t xml:space="preserve">Spring wiring: builds the MCP client, portfolio source, profiles, ActuaryService, skill registry and filters; prints startup banner.</t>
  </si>
  <si>
    <t xml:space="preserve">objectMapper; Clock; mcpClient (same SERVICE_TOKEN); portfolioSource (+ snapshot); profiles; actuaryService with Assumptions.DEFAULT; traceFilter; serviceTokenFilter on /invoke and /v1/*</t>
  </si>
  <si>
    <t xml:space="preserve">Reads ActuaryProperties; creates mcp/, planning/, skills/, web/ objects</t>
  </si>
  <si>
    <t xml:space="preserve">The same service token authenticates callers to this agent and this agent to the MCP server.</t>
  </si>
  <si>
    <t xml:space="preserve">agents/java/risk-engine/src/main/java/com/aurelius/actuary/mcp</t>
  </si>
  <si>
    <t xml:space="preserve">McpClient.java</t>
  </si>
  <si>
    <t xml:space="preserve">Minimal MCP (Model Context Protocol) client over Java HttpClient: initialize, notifications/initialized, tools/call, then DELETE session; accepts JSON or SSE replies.</t>
  </si>
  <si>
    <t xml:space="preserve">callTool(); post(); sseData(); toolResult(); McpUnavailableException vs McpToolException; PROTOCOL_VERSION 2025-06-18; HTTP/1.1 forced</t>
  </si>
  <si>
    <t xml:space="preserve">Calls the advisor-tools MCP server at MCP_ADVISOR_TOOLS_URL (:8500/mcp) with Bearer SERVICE_TOKEN; used by PortfolioSource</t>
  </si>
  <si>
    <t xml:space="preserve">Separates 'server unreachable' (can fall back) from 'tool reported an error' (a real error), and forces HTTP/1.1 to avoid an h2c upgrade that uvicorn mishandles.</t>
  </si>
  <si>
    <t xml:space="preserve">PortfolioSource.java</t>
  </si>
  <si>
    <t xml:space="preserve">Gets portfolios live from MCP (get_client_profile and get_holdings) and falls back to data/portfolio-snapshot.json only if MCP is unreachable, labelling the source.</t>
  </si>
  <si>
    <t xml:space="preserve">get(); fromMcp (aggregates positions, merges same stock across accounts); fromSnapshot; loadSnapshot</t>
  </si>
  <si>
    <t xml:space="preserve">Uses McpClient and Portfolio; used by ActuaryService</t>
  </si>
  <si>
    <t xml:space="preserve">Graceful degradation: stale numbers clearly labelled 'snapshot (MCP unavailable...)' beat no answer, but an unknown client is never masked by the fallback.</t>
  </si>
  <si>
    <t xml:space="preserve">agents/java/risk-engine/src/main/java/com/aurelius/actuary/planning</t>
  </si>
  <si>
    <t xml:space="preserve">ActuaryService.java</t>
  </si>
  <si>
    <t xml:space="preserve">Use cases for the three skills: combines profile, portfolio, risk scoring, Monte Carlo and stress tests into answers with headline, inputs, assumptions and a disclosure.</t>
  </si>
  <si>
    <t xml:space="preserve">riskScore; projectRetirement (already-retired handling, simulation cap, multi-age compare); stressTest; clients(); DISCLOSURE; Settings(5000, 20000)</t>
  </si>
  <si>
    <t xml:space="preserve">Called by skills/SkillRegistry and web/BrowseController; uses Profiles, PortfolioSource, MonteCarlo, RiskScorer, StressTester</t>
  </si>
  <si>
    <t xml:space="preserve">This agent computes and LLM agents only explain; every answer carries its inputs, assumptions and a 'not a guarantee' disclosure.</t>
  </si>
  <si>
    <t xml:space="preserve">MonteCarlo.java</t>
  </si>
  <si>
    <t xml:space="preserve">Monte Carlo retirement simulation: random yearly returns from the portfolio's mean and volatility, savings before retirement, spending minus Social Security after, one-time withdrawals; reports success probability and percentiles.</t>
  </si>
  <si>
    <t xml:space="preserve">run(); seedFor() (deterministic seed from inputs); percentile; compare(); pctText (never 100% or 0%); SplittableRandom; Result with p10/p50/p90</t>
  </si>
  <si>
    <t xml:space="preserve">Called by ActuaryService; uses Assumptions, Profiles, Portfolio</t>
  </si>
  <si>
    <t xml:space="preserve">The seed is derived from the inputs, so the same question always gives the same numbers and an advisor cannot re-roll for a nicer answer.</t>
  </si>
  <si>
    <t xml:space="preserve">agents/java/risk-engine/src/main/java/com/aurelius/actuary/risk</t>
  </si>
  <si>
    <t xml:space="preserve">RiskScorer.java</t>
  </si>
  <si>
    <t xml:space="preserve">Computes a 0-100 risk score as the lower of willingness (questionnaire) and capacity (horizon, funding coverage, income stability), maps to a band and compares with the portfolio's equity share.</t>
  </si>
  <si>
    <t xml:space="preserve">willingness; capacity (horizon 30+5/yr, coverage vs 25x gap); band; BANDS (5 bands with suggested equity %); score() with alignment and notes</t>
  </si>
  <si>
    <t xml:space="preserve">Called by ActuaryService.riskScore; uses Profiles and Portfolio</t>
  </si>
  <si>
    <t xml:space="preserve">Taking the lower of willingness and capacity is the suitability idea: a client who loves risk but retires soon gets the lower score.</t>
  </si>
  <si>
    <t xml:space="preserve">agents/java/risk-engine/src/main/java/com/aurelius/actuary/skills</t>
  </si>
  <si>
    <t xml:space="preserve">Self-validating input records for the three skills.</t>
  </si>
  <si>
    <t xml:space="preserve">RiskScoreInput; ProjectRetirementInput (retire_ages max 3 within 50-80, no duplicates, spending 10k-2M, simulations &gt;=100, plan_to_age 80-105); StressTestInput</t>
  </si>
  <si>
    <t xml:space="preserve">Used by SkillRegistry and ActuaryService</t>
  </si>
  <si>
    <t xml:space="preserve">Bounds on inputs stop absurd requests before any computation runs.</t>
  </si>
  <si>
    <t xml:space="preserve">Table of the three skills (risk_score, project_retirement, stress_test) with description, schema, examples and handler; validates input and dispatches /invoke.</t>
  </si>
  <si>
    <t xml:space="preserve">Skill record; invoke(); run() fills client_id from context; readable(); describe() (all writes=false); UnknownSkillException</t>
  </si>
  <si>
    <t xml:space="preserve">Called by web/AgentController, PublicController, OpenApiConfig; calls planning/ActuaryService</t>
  </si>
  <si>
    <t xml:space="preserve">One table feeds invoke, agent card and Swagger. All three skills are read-only.</t>
  </si>
  <si>
    <t xml:space="preserve">agents/java/risk-engine/src/main/java/com/aurelius/actuary/web</t>
  </si>
  <si>
    <t xml:space="preserve">POST /invoke, the agent contract: {skill, input, context} in, {agent, status, output, error} out.</t>
  </si>
  <si>
    <t xml:space="preserve">invoke(); skill errors are HTTP 200 status 'error'</t>
  </si>
  <si>
    <t xml:space="preserve">Calls skills/SkillRegistry; called by the Conductor; guarded by ServiceTokenFilter</t>
  </si>
  <si>
    <t xml:space="preserve">Skill errors are 200 with status 'error' and contract errors are 422, same as every agent.</t>
  </si>
  <si>
    <t xml:space="preserve">Requires Bearer SERVICE_TOKEN on /invoke and /v1/*, answering 401 otherwise.</t>
  </si>
  <si>
    <t xml:space="preserve">doFilter(); Checks.tokenEquals constant time</t>
  </si>
  <si>
    <t xml:space="preserve">Registered in AppConfig; uses support/Checks and web/JsonReply</t>
  </si>
  <si>
    <t xml:space="preserve">Constant-time token comparison; empty configured token denies everything.</t>
  </si>
  <si>
    <t xml:space="preserve">First filter: reuses or creates X-Trace-Id, sets nosniff and no-store headers, rejects bodies over 64 KB (413).</t>
  </si>
  <si>
    <t xml:space="preserve">TRACE_ATTR; MAX_BODY_BYTES; SAFE_TRACE regex</t>
  </si>
  <si>
    <t xml:space="preserve">Registered in AppConfig; trace id forwarded to McpClient as X-Trace-Id</t>
  </si>
  <si>
    <t xml:space="preserve">Unsafe trace ids are replaced to prevent header and log injection.</t>
  </si>
  <si>
    <t xml:space="preserve">agents/java/risk-engine/data</t>
  </si>
  <si>
    <t xml:space="preserve">profiles.json</t>
  </si>
  <si>
    <t xml:space="preserve">Fictional planning profiles for three households: members' ages, retirement ages, Social Security, savings, spending, plan-to-age, one-time withdrawals and questionnaire answers.</t>
  </si>
  <si>
    <t xml:space="preserve">Loaded by planning/Profiles</t>
  </si>
  <si>
    <t xml:space="preserve">ActuaryProperties.java</t>
  </si>
  <si>
    <t xml:space="preserve">Typed record bound to the actuary: block of application.yml.</t>
  </si>
  <si>
    <t xml:space="preserve">serviceToken; profilesFile; snapshotFile; mcpUrl; mcpTimeoutMs; defaultSimulations; maxSimulations</t>
  </si>
  <si>
    <t xml:space="preserve">Bound from application.yml; used by AppConfig</t>
  </si>
  <si>
    <t xml:space="preserve">Swagger/OpenAPI setup: serviceToken bearer scheme, snake_case schemas, one example per skill taken from SkillRegistry.</t>
  </si>
  <si>
    <t xml:space="preserve">actuaryOpenApi; modelResolver; skillExamples customizer</t>
  </si>
  <si>
    <t xml:space="preserve">Reads skills/SkillRegistry; served at /docs and /openapi.json</t>
  </si>
  <si>
    <t xml:space="preserve">Examples come from the live skill table, so they cannot go stale.</t>
  </si>
  <si>
    <t xml:space="preserve">agents/java/risk-engine/src/main/java/com/aurelius/actuary/contract</t>
  </si>
  <si>
    <t xml:space="preserve">Record for the /invoke body with validation in its compact constructor.</t>
  </si>
  <si>
    <t xml:space="preserve">skill 1-64 chars; input default empty; context required</t>
  </si>
  <si>
    <t xml:space="preserve">Used by AgentController</t>
  </si>
  <si>
    <t xml:space="preserve">Reply envelope shared by all agents.</t>
  </si>
  <si>
    <t xml:space="preserve">AGENT='actuary'; ok(); fail()</t>
  </si>
  <si>
    <t xml:space="preserve">Returned by AgentController</t>
  </si>
  <si>
    <t xml:space="preserve">Caller context: trace id, user id, optional client id.</t>
  </si>
  <si>
    <t xml:space="preserve">InvokeContext(traceId, userId, clientId)</t>
  </si>
  <si>
    <t xml:space="preserve">Used by AgentRequest and skills; trace id passed to MCP calls</t>
  </si>
  <si>
    <t xml:space="preserve">Assumptions.java</t>
  </si>
  <si>
    <t xml:space="preserve">Capital market assumptions (real returns and volatility per asset class) and the portfolio return and risk formulas.</t>
  </si>
  <si>
    <t xml:space="preserve">DEFAULT (equity 5%/16%, bonds 2%/6%, cash 0.5%/1%, corr 0.10); expectedReturn; volatility</t>
  </si>
  <si>
    <t xml:space="preserve">Used by MonteCarlo and ActuaryService; echoed in outputs</t>
  </si>
  <si>
    <t xml:space="preserve">Assumptions are published with every projection so results can be challenged.</t>
  </si>
  <si>
    <t xml:space="preserve">Portfolio.java</t>
  </si>
  <si>
    <t xml:space="preserve">Record of what the math needs from a portfolio: source, as-of date, risk profile label, target mix, total value, value by asset class, largest single stock.</t>
  </si>
  <si>
    <t xml:space="preserve">weight(assetClass); withSource(); Stock record</t>
  </si>
  <si>
    <t xml:space="preserve">Built by mcp/PortfolioSource; used by RiskScorer, StressTester, MonteCarlo</t>
  </si>
  <si>
    <t xml:space="preserve">Profiles.java</t>
  </si>
  <si>
    <t xml:space="preserve">Loads planning profiles (ages, retirement age, Social Security, savings, spending, one-time withdrawals, risk questionnaire) from data/profiles.json.</t>
  </si>
  <si>
    <t xml:space="preserve">Member; Questionnaire; Profile (primary(), adults(), yearsToPlan, socialSecurityTotal); Profiles.load/get/clientIds</t>
  </si>
  <si>
    <t xml:space="preserve">Used by ActuaryService, RiskScorer, MonteCarlo; file path from ACTUARY_PROFILES_FILE</t>
  </si>
  <si>
    <t xml:space="preserve">All money is in today's dollars, so inflation is already handled.</t>
  </si>
  <si>
    <t xml:space="preserve">StressTester.java</t>
  </si>
  <si>
    <t xml:space="preserve">Applies approximate historical crisis returns (2008, dot-com, COVID, 2022 rate shock) and a 50% single-stock drop to the current mix and reports losses in dollars, percent and years of spending.</t>
  </si>
  <si>
    <t xml:space="preserve">SCENARIOS; SINGLE_STOCK; ids(); run(); Row(loss, lossPct, valueAfter, yearsOfSpending)</t>
  </si>
  <si>
    <t xml:space="preserve">Called by ActuaryService.stressTest and SkillRegistry (enum of ids)</t>
  </si>
  <si>
    <t xml:space="preserve">Monte Carlo answers 'how likely', stress tests answer 'how bad'; the figures are labelled illustrative.</t>
  </si>
  <si>
    <t xml:space="preserve">agents/java/risk-engine/src/main/java/com/aurelius/actuary/support</t>
  </si>
  <si>
    <t xml:space="preserve">Shared validation and security helpers (same as the Notary's copy).</t>
  </si>
  <si>
    <t xml:space="preserve">id(); text(); serviceToken(); tokenEquals(); sha256(); rootMessage()</t>
  </si>
  <si>
    <t xml:space="preserve">Used by app main, filters, skill inputs, contract records</t>
  </si>
  <si>
    <t xml:space="preserve">Fail-closed token check and constant-time compare.</t>
  </si>
  <si>
    <t xml:space="preserve">Maps exceptions to {detail: ...} JSON: 422 invalid input, 404 not found, generic 500 with trace id.</t>
  </si>
  <si>
    <t xml:space="preserve">unreadable; notFound; badArgument; other()</t>
  </si>
  <si>
    <t xml:space="preserve">Catches errors from controllers and contract records</t>
  </si>
  <si>
    <t xml:space="preserve">No stack traces or internals reach the caller.</t>
  </si>
  <si>
    <t xml:space="preserve">Read-only views of profiles and the assumptions behind the math.</t>
  </si>
  <si>
    <t xml:space="preserve">GET /v1/clients; GET /v1/assumptions</t>
  </si>
  <si>
    <t xml:space="preserve">Calls planning/ActuaryService; token required</t>
  </si>
  <si>
    <t xml:space="preserve">Unauthenticated liveness and agent card; health includes the MCP URL.</t>
  </si>
  <si>
    <t xml:space="preserve">GET /health (clients, mcp_url); GET /.well-known/agent.json (skills, depends_on MCP server)</t>
  </si>
  <si>
    <t xml:space="preserve">Uses ActuaryService, McpClient.url(), SkillRegistry.describe()</t>
  </si>
  <si>
    <t xml:space="preserve">agents/java/risk-engine/src/main/resources</t>
  </si>
  <si>
    <t xml:space="preserve">Spring settings: port 8202, localhost bind, profiles and snapshot files, MCP URL and 5 s timeout, 5000 default and 20000 max simulations, Swagger paths, ECS logging.</t>
  </si>
  <si>
    <t xml:space="preserve">ACTUARY_PORT; MCP_ADVISOR_TOOLS_URL (http://127.0.0.1:8500/mcp); ACTUARY_MCP_TIMEOUT_MS; ACTUARY_DEFAULT_SIMULATIONS; ACTUARY_MAX_SIMULATIONS</t>
  </si>
  <si>
    <t xml:space="preserve">Bound by config/ActuaryProperties</t>
  </si>
  <si>
    <t xml:space="preserve">The simulation cap protects the CPU from oversized requests.</t>
  </si>
  <si>
    <t xml:space="preserve">agents/java/risk-engine/src/test/java/com/aurelius/actuary</t>
  </si>
  <si>
    <t xml:space="preserve">Starts the real Spring server on a random port and calls it over HTTP.</t>
  </si>
  <si>
    <t xml:space="preserve">public health and card; 401 without token; risk_score falls back to snapshot; snake_case with whole dollars; errors; browse; Swagger and every example</t>
  </si>
  <si>
    <t xml:space="preserve">MathTest.java</t>
  </si>
  <si>
    <t xml:space="preserve">Tests the numeric core: Monte Carlo, risk scoring, stress tests.</t>
  </si>
  <si>
    <t xml:space="preserve">same inputs same numbers; later retirement helps; zero volatility is certain; one year by hand; never sounds certain; risk scores for three households; capacity caps eager investor; stress by hand; single-stock only when held</t>
  </si>
  <si>
    <t xml:space="preserve">Tests planning/MonteCarlo, Assumptions, risk/RiskScorer, StressTester</t>
  </si>
  <si>
    <t xml:space="preserve">Hand-computed expected values and a zero-volatility case verify the simulation logic.</t>
  </si>
  <si>
    <t xml:space="preserve">McpClientTest.java</t>
  </si>
  <si>
    <t xml:space="preserve">Tests McpClient and PortfolioSource against a fake MCP server built on the JDK HttpServer.</t>
  </si>
  <si>
    <t xml:space="preserve">handshake then call then close; tool errors are not connectivity errors; wrong token is unavailable; positions aggregated; falls back to snapshot; SSE parsing</t>
  </si>
  <si>
    <t xml:space="preserve">Tests mcp/McpClient and PortfolioSource</t>
  </si>
  <si>
    <t xml:space="preserve">A fake in-process server tests the protocol and fallback without needing the real Python MCP server.</t>
  </si>
  <si>
    <t xml:space="preserve">Runs the three skills through the registry end to end.</t>
  </si>
  <si>
    <t xml:space="preserve">every example works; risk_score output; retire 62 vs 63; client_id from context; already-retired households; stress_test output; validation; unknown skill and client</t>
  </si>
  <si>
    <t xml:space="preserve">Tests skills/SkillRegistry and ActuaryService</t>
  </si>
  <si>
    <t xml:space="preserve">Builds the agent without Spring: seed profiles, snapshot-only portfolio source (MCP disabled), fixed clock 2026-10-03.</t>
  </si>
  <si>
    <t xml:space="preserve">Used by other Actuary tests</t>
  </si>
  <si>
    <t xml:space="preserve">Plain classes plus an injected clock keep tests fast and deterministic.</t>
  </si>
  <si>
    <t xml:space="preserve">Template of environment variables: SERVICE_TOKEN, MCP URL and optional port, timeout and simulation limits.</t>
  </si>
  <si>
    <t xml:space="preserve">SERVICE_TOKEN; MCP_ADVISOR_TOOLS_URL; ACTUARY_PORT; ACTUARY_MCP_TIMEOUT_MS; ACTUARY_*_SIMULATIONS</t>
  </si>
  <si>
    <t xml:space="preserve">Read by support/DotEnv</t>
  </si>
  <si>
    <t xml:space="preserve">Ignores build output, logs, local data overrides, .env and IDE files.</t>
  </si>
  <si>
    <t xml:space="preserve">target/; logs/; data/*.local.json; .env</t>
  </si>
  <si>
    <t xml:space="preserve">agents/java/risk-engine/.mvn</t>
  </si>
  <si>
    <t xml:space="preserve">Keeps the local Maven repository inside the project (.m2/repository).</t>
  </si>
  <si>
    <t xml:space="preserve">Read by mvn</t>
  </si>
  <si>
    <t xml:space="preserve">Component overview: port, MCP dependency and fallback, skills with seed examples, how the math works.</t>
  </si>
  <si>
    <t xml:space="preserve">Windows runbook: activate Maven, mvn test (36 tests), start the server, Swagger and MCP-down check.</t>
  </si>
  <si>
    <t xml:space="preserve">REST Client collection with EXPECT comments for health, agent card, three skills, browse endpoints and errors; needs the MCP server on :8500 for live portfolios.</t>
  </si>
  <si>
    <t xml:space="preserve">Run against a live server at :8202</t>
  </si>
  <si>
    <t xml:space="preserve">portfolio-snapshot.json</t>
  </si>
  <si>
    <t xml:space="preserve">Fallback copy of portfolios (as of 2026-10-01) used only if the MCP server is unreachable.</t>
  </si>
  <si>
    <t xml:space="preserve">Loaded by mcp/PortfolioSource</t>
  </si>
  <si>
    <t xml:space="preserve">Maven build: Spring Boot 3.5.6, Java 21, web starter, springdoc, test starter; builds target/actuary.jar.</t>
  </si>
  <si>
    <t xml:space="preserve">spring-boot-starter-web; springdoc-openapi-starter-webmvc-ui; spring-boot-maven-plugin</t>
  </si>
  <si>
    <t xml:space="preserve">Used by mvn commands</t>
  </si>
  <si>
    <t xml:space="preserve">Tiny .env parser merging the shared parent .env with the agent's own .env.</t>
  </si>
  <si>
    <t xml:space="preserve">parse(); load()</t>
  </si>
  <si>
    <t xml:space="preserve">Called by ActuaryApplication.main</t>
  </si>
  <si>
    <t xml:space="preserve">Central Jackson mapper factory: snake_case, ISO dates, case-insensitive enums, ignore unknown fields.</t>
  </si>
  <si>
    <t xml:space="preserve">Used by AppConfig and tests</t>
  </si>
  <si>
    <t xml:space="preserve">Exception for an unknown client or missing portfolio.</t>
  </si>
  <si>
    <t xml:space="preserve">Thrown by ActuaryService and PortfolioSource; handled by AgentController and ApiErrorHandler</t>
  </si>
  <si>
    <t xml:space="preserve">Writes small JSON error replies from servlet filters.</t>
  </si>
  <si>
    <t xml:space="preserve">Tests .env parsing, weak-token rejection, constant-time compare and control-character rejection.</t>
  </si>
  <si>
    <t xml:space="preserve">agents/go/market-pulse/cmd/pulse</t>
  </si>
  <si>
    <t xml:space="preserve">main.go</t>
  </si>
  <si>
    <t xml:space="preserve">Starts Pulse: loads config, feed, holdings snapshot and symbols, builds the skills service and HTTP server, and shuts down cleanly on Ctrl+C. Also has an optional demo-event simulator.</t>
  </si>
  <si>
    <t xml:space="preserve">main (JSON slog logger); run (wiring, fail-closed token check, PULSE_AS_OF clock, http.Server timeouts, graceful shutdown); simulate (demo event every PULSE_SIMULATE_SECONDS)</t>
  </si>
  <si>
    <t xml:space="preserve">calls config, events, holdings, impact, skills, api packages; listens on :8301</t>
  </si>
  <si>
    <t xml:space="preserve">One signal-aware context is the BaseContext for the server, so Ctrl+C ends every long-lived SSE stream; WriteTimeout is 0 for streams while normal routes get a 15 s handler timeout.</t>
  </si>
  <si>
    <t xml:space="preserve">agents/go/market-pulse/internal/api</t>
  </si>
  <si>
    <t xml:space="preserve">server.go</t>
  </si>
  <si>
    <t xml:space="preserve">The HTTP layer: routes, middleware, token auth, /invoke, event feed, ingest and the live SSE stream, with Swagger embedded.</t>
  </si>
  <si>
    <t xml:space="preserve">Handler (Go 1.22 method routing); traceAndHeaders (safe trace id, nosniff, 64 KB cap); recoverPanics; requireToken (constant-time); withCSP; health; agentCard; invoke; listEvents; ingest (DisallowUnknownFields); stream (select on event/heartbeat/ctx)</t>
  </si>
  <si>
    <t xml:space="preserve">called by cmd/pulse/main.go; uses skills, events.Broker, holdings, impact; /invoke is called by the Conductor</t>
  </si>
  <si>
    <t xml:space="preserve">Constant-time token compare, strict ingest, body and time limits, panic recovery without leaking stacks, and the stream takes the token in the header, not the URL.</t>
  </si>
  <si>
    <t xml:space="preserve">agents/go/market-pulse/internal/config</t>
  </si>
  <si>
    <t xml:space="preserve">config.go</t>
  </si>
  <si>
    <t xml:space="preserve">Reads settings from the real environment, a parent .env (shared aurelius .env) and a local .env, and refuses weak service tokens. Written by hand because the agent uses no third-party packages.</t>
  </si>
  <si>
    <t xml:space="preserve">Config struct; Load (env &gt; local .env &gt; shared .env &gt; defaults); CheckSecurity (24+ chars, not a placeholder); ReadDotEnv (comments, export, quotes, inline #); Version 0.1.0</t>
  </si>
  <si>
    <t xml:space="preserve">called by cmd/pulse/main.go and api; reads SERVICE_TOKEN, MCP_ADVISOR_TOOLS_URL, PULSE_PORT/HOST/MCP_TIMEOUT_MS/DEFAULT_DAYS/MAX_SUBSCRIBERS/SIMULATE_SECONDS/AS_OF and file paths</t>
  </si>
  <si>
    <t xml:space="preserve">The service fails closed: it will not start with a missing or guessable SERVICE_TOKEN.</t>
  </si>
  <si>
    <t xml:space="preserve">agents/go/market-pulse/internal/contract</t>
  </si>
  <si>
    <t xml:space="preserve">contract.go</t>
  </si>
  <si>
    <t xml:space="preserve">Defines the agent contract JSON shared by all Aurelius agents (request, response, context) and input validators that reject unsafe ids and control characters.</t>
  </si>
  <si>
    <t xml:space="preserve">Agent const 'pulse'; Context, Request, Response; OK / Fail; Request.Validate; ID (safe id regex); Text / MultiLine (length + control-char check)</t>
  </si>
  <si>
    <t xml:space="preserve">used by api/server.go, skills, events/guard.go</t>
  </si>
  <si>
    <t xml:space="preserve">Control characters are rejected in all text so inputs cannot inject fake log lines or headers.</t>
  </si>
  <si>
    <t xml:space="preserve">agents/go/market-pulse/internal/events</t>
  </si>
  <si>
    <t xml:space="preserve">broker.go</t>
  </si>
  <si>
    <t xml:space="preserve">In-process publish/subscribe for the live stream: each subscriber has a buffered channel and Publish never blocks.</t>
  </si>
  <si>
    <t xml:space="preserve">Broker; Subscribe (cap max, buffer 16, unsubscribe via sync.Once); Publish (drops for slow subscribers, counts); Subscribers; Dropped; ErrTooManySubscribers</t>
  </si>
  <si>
    <t xml:space="preserve">called by Feed.Add (publish), api.stream (subscribe), api.health (stats)</t>
  </si>
  <si>
    <t xml:space="preserve">Backpressure: a slow reader loses events (counted) instead of blocking ingest for everyone, and max subscribers bounds open connections.</t>
  </si>
  <si>
    <t xml:space="preserve">feed.go</t>
  </si>
  <si>
    <t xml:space="preserve">The in-memory event store: loads events.json, lists recent events, and ingests new ones with idempotency and tamper detection, then publishes to the live broker.</t>
  </si>
  <si>
    <t xml:space="preserve">Event struct; LoadFeed (validates every seed event); Since (newest first); Get; Count; Add (duplicate vs ErrConflict); same; sync.RWMutex</t>
  </si>
  <si>
    <t xml:space="preserve">uses guard.go Validate and broker.go; called by skills, api ingest, main simulator</t>
  </si>
  <si>
    <t xml:space="preserve">Same event twice is a harmless duplicate, but the same id with different content returns 409 so history cannot be rewritten; the lock is released before publishing.</t>
  </si>
  <si>
    <t xml:space="preserve">guard.go</t>
  </si>
  <si>
    <t xml:space="preserve">Validates and normalizes an incoming event and quarantines text that looks like a prompt injection, since news text later reaches an LLM.</t>
  </si>
  <si>
    <t xml:space="preserve">Validate; regexes for event id, symbol, enums; injection regex (ignore previous instructions, system prompt, etc.); ErrQuarantined; limits on headline/summary/source</t>
  </si>
  <si>
    <t xml:space="preserve">called by Feed.Add and LoadFeed; uses contract.Text</t>
  </si>
  <si>
    <t xml:space="preserve">External news is untrusted input to a downstream LLM, so injection phrases are refused at ingest, before storage.</t>
  </si>
  <si>
    <t xml:space="preserve">agents/go/market-pulse/internal/holdings</t>
  </si>
  <si>
    <t xml:space="preserve">mcp.go</t>
  </si>
  <si>
    <t xml:space="preserve">A small MCP client over plain net/http that calls a tool on the advisor-tools MCP server (initialize, initialized notification, tools/call, then DELETE session).</t>
  </si>
  <si>
    <t xml:space="preserve">MCPClient; NewMCPClient; CallTool; post (bearer token, X-Trace-Id, session header, 2 MB read cap, SSE unwrap); SSEData; ToolError; ErrUnavailable</t>
  </si>
  <si>
    <t xml:space="preserve">called by holdings/source.go; talks to MCP server MCP_ADVISOR_TOOLS_URL (default :8500/mcp)</t>
  </si>
  <si>
    <t xml:space="preserve">Separates 'tool said no' (ToolError) from 'server unreachable' (ErrUnavailable), which decides whether a fallback is allowed; responses are size-capped.</t>
  </si>
  <si>
    <t xml:space="preserve">source.go</t>
  </si>
  <si>
    <t xml:space="preserve">Provides a client's portfolio: tries the MCP server first, falls back to a snapshot file only if MCP is unreachable, and labels which source answered.</t>
  </si>
  <si>
    <t xml:space="preserve">Position, Book; Source.Get; ClientIDs (MCP list_clients or snapshot keys); LoadSnapshot; fromMCP (get_holdings, merges same symbol across accounts); ErrNotFound</t>
  </si>
  <si>
    <t xml:space="preserve">uses mcp.go and data/holdings-snapshot.json; called by skills.go and api.stream</t>
  </si>
  <si>
    <t xml:space="preserve">Graceful degradation with honesty: snapshot answers are labelled in the output, and an unknown client is an error, never a guess from stale data.</t>
  </si>
  <si>
    <t xml:space="preserve">agents/go/market-pulse/internal/impact</t>
  </si>
  <si>
    <t xml:space="preserve">impact.go</t>
  </si>
  <si>
    <t xml:space="preserve">The matching and ranking engine: decides which events touch a client's holdings, how much exposure, and estimated dollar impact.</t>
  </si>
  <si>
    <t xml:space="preserve">LoadSymbols; Hit; Match (direct by symbol, indirect by asset class/region/sector); touches (cash never matches); relevance = severity x share x match weight (direct 1.0, indirect 0.5); usd formatting</t>
  </si>
  <si>
    <t xml:space="preserve">called by skills.go and api.stream; reads data/symbols.json</t>
  </si>
  <si>
    <t xml:space="preserve">Ranking is deterministic and explainable (each hit has a 'why' string), and diluted indirect matches rank below direct company news.</t>
  </si>
  <si>
    <t xml:space="preserve">agents/go/market-pulse/internal/skills</t>
  </si>
  <si>
    <t xml:space="preserve">skills.go</t>
  </si>
  <si>
    <t xml:space="preserve">The skills table (get_events, scan_clients, list_events) used for /invoke, the agent card and Swagger examples; contains the logic for each skill.</t>
  </si>
  <si>
    <t xml:space="preserve">Service; Table (3 skills with input schemas and examples); window (days 1-90, severity); decode; getEvents; scanClients (goroutines + semaphore of 4 + WaitGroup); scanOne; listEvents; InputError; ExternalTextNote</t>
  </si>
  <si>
    <t xml:space="preserve">called by api/server.go and openapi.go; uses events.Feed, holdings.Source, impact.Match</t>
  </si>
  <si>
    <t xml:space="preserve">Single source of truth: one table drives routing, schema and docs; scan_clients runs households in parallel with a bounded semaphore so the MCP server is not flooded.</t>
  </si>
  <si>
    <t xml:space="preserve">Template of the environment variables Pulse reads; the required ones are SERVICE_TOKEN and MCP_ADVISOR_TOOLS_URL, optional ones are commented out.</t>
  </si>
  <si>
    <t xml:space="preserve">SERVICE_TOKEN; MCP_ADVISOR_TOOLS_URL; PULSE_PORT/HOST; PULSE_MCP_TIMEOUT_MS; PULSE_DEFAULT_DAYS; PULSE_MAX_SUBSCRIBERS; PULSE_SIMULATE_SECONDS; PULSE_AS_OF; file overrides</t>
  </si>
  <si>
    <t xml:space="preserve">read by internal/config/config.go</t>
  </si>
  <si>
    <t xml:space="preserve">go.mod</t>
  </si>
  <si>
    <t xml:space="preserve">Go module definition: module aurelius/pulse, Go 1.24, no dependencies.</t>
  </si>
  <si>
    <t xml:space="preserve">module aurelius/pulse; go 1.24</t>
  </si>
  <si>
    <t xml:space="preserve">root of all internal imports</t>
  </si>
  <si>
    <t xml:space="preserve">No third-party packages means nothing to download and no supply-chain exposure.</t>
  </si>
  <si>
    <t xml:space="preserve">api_test.go</t>
  </si>
  <si>
    <t xml:space="preserve">End-to-end tests over a real httptest server with a fake MCP server: auth, security headers, skills, errors, ingest and live stream.</t>
  </si>
  <si>
    <t xml:space="preserve">TestPublicEndpointsAndSecurityHeaders; TestTokenIsRequired; TestGetEventsForPatel; TestEverySwaggerExampleWorks; TestErrors; TestIngestThenLiveStreamFilteredByClient; TestSwaggerPageIsEmbeddedWithStrictCSP</t>
  </si>
  <si>
    <t xml:space="preserve">tests api, skills, events, holdings together</t>
  </si>
  <si>
    <t xml:space="preserve">Every Swagger example is executed in a test, and the stream test proves per-client filtering end to end.</t>
  </si>
  <si>
    <t xml:space="preserve">openapi.go</t>
  </si>
  <si>
    <t xml:space="preserve">Builds the OpenAPI 3.1 document served at /openapi.json, generating the Swagger examples from the same skills table the code runs.</t>
  </si>
  <si>
    <t xml:space="preserve">openapi handler; exampleBody; eventExample and poisoned demo payloads; paths for /health, /invoke, /v1/events, /v1/stream; merge</t>
  </si>
  <si>
    <t xml:space="preserve">called by server.go; reads skills.Table; consumed by swaggerui/init.js</t>
  </si>
  <si>
    <t xml:space="preserve">Examples are generated from the real skills table so the docs cannot drift from the code.</t>
  </si>
  <si>
    <t xml:space="preserve">Keeps built binaries, local .env and coverage output out of git.</t>
  </si>
  <si>
    <t xml:space="preserve">pulse; pulse.exe; .env; coverage.out</t>
  </si>
  <si>
    <t xml:space="preserve">Overview of Pulse: what it does, matching rules, Go concepts used, security principles and folder map.</t>
  </si>
  <si>
    <t xml:space="preserve">Setup, run and test runbook (install Go, run tests, start, Swagger, live stream demo, troubleshooting).</t>
  </si>
  <si>
    <t xml:space="preserve">22 manual HTTP requests (VS Code REST Client) covering health, skills, feed, ingest, duplicate, conflict, injection and strict ingest.</t>
  </si>
  <si>
    <t xml:space="preserve">calls the running service on :8301</t>
  </si>
  <si>
    <t xml:space="preserve">agents/go/market-pulse/data</t>
  </si>
  <si>
    <t xml:space="preserve">events.json</t>
  </si>
  <si>
    <t xml:space="preserve">Eight fictional market and news events used as the seed feed (earnings miss for XYZ, ABC plant closures, rate decision, etc.).</t>
  </si>
  <si>
    <t xml:space="preserve">loaded by events.LoadFeed</t>
  </si>
  <si>
    <t xml:space="preserve">holdings-snapshot.json</t>
  </si>
  <si>
    <t xml:space="preserve">Fallback copy of client holdings (patel-001, garcia-003, chen) used only when the MCP server is unreachable.</t>
  </si>
  <si>
    <t xml:space="preserve">loaded by holdings.LoadSnapshot</t>
  </si>
  <si>
    <t xml:space="preserve">symbols.json</t>
  </si>
  <si>
    <t xml:space="preserve">Reference table giving each security's region and sector so broad events can be matched to holdings.</t>
  </si>
  <si>
    <t xml:space="preserve">loaded by impact.LoadSymbols</t>
  </si>
  <si>
    <t xml:space="preserve">agents/go/market-pulse/internal/api/swaggerui</t>
  </si>
  <si>
    <t xml:space="preserve">LICENSE</t>
  </si>
  <si>
    <t xml:space="preserve">Apache-2.0 license text for the bundled Swagger UI.</t>
  </si>
  <si>
    <t xml:space="preserve">index.html</t>
  </si>
  <si>
    <t xml:space="preserve">UI screen</t>
  </si>
  <si>
    <t xml:space="preserve">The Swagger UI host page served at /docs.</t>
  </si>
  <si>
    <t xml:space="preserve">loads swagger-ui.css, swagger-ui-bundle.js, init.js from /docs/</t>
  </si>
  <si>
    <t xml:space="preserve">init.js</t>
  </si>
  <si>
    <t xml:space="preserve">Starts Swagger UI pointed at /openapi.json; kept as a separate file so the strict CSP can forbid inline scripts.</t>
  </si>
  <si>
    <t xml:space="preserve">SwaggerUIBundle config (persistAuthorization)</t>
  </si>
  <si>
    <t xml:space="preserve">loaded by index.html; fetches /openapi.json</t>
  </si>
  <si>
    <t xml:space="preserve">Inline script is avoided so the Content-Security-Policy can be script-src 'self'.</t>
  </si>
  <si>
    <t xml:space="preserve">swagger-ui-bundle.js</t>
  </si>
  <si>
    <t xml:space="preserve">Minified third-party Swagger UI bundle (v5.33.1), embedded into the Go binary with go:embed so docs work offline.</t>
  </si>
  <si>
    <t xml:space="preserve">embedded by api/server.go; loaded by index.html</t>
  </si>
  <si>
    <t xml:space="preserve">Vendored and embedded so there is no CDN dependency or runtime download.</t>
  </si>
  <si>
    <t xml:space="preserve">swagger-ui.css</t>
  </si>
  <si>
    <t xml:space="preserve">Styling</t>
  </si>
  <si>
    <t xml:space="preserve">Minified Swagger UI stylesheet.</t>
  </si>
  <si>
    <t xml:space="preserve">loaded by index.html</t>
  </si>
  <si>
    <t xml:space="preserve">config_test.go</t>
  </si>
  <si>
    <t xml:space="preserve">Unit tests for the .env parser and the weak-token check.</t>
  </si>
  <si>
    <t xml:space="preserve">TestReadDotEnvFollowsTheSameRulesAsTheOtherAgents; TestWeakTokensAreRejected</t>
  </si>
  <si>
    <t xml:space="preserve">tests config.go</t>
  </si>
  <si>
    <t xml:space="preserve">The .env parsing rules are pinned by a test so they stay identical to the other agents' readers.</t>
  </si>
  <si>
    <t xml:space="preserve">events_test.go</t>
  </si>
  <si>
    <t xml:space="preserve">Tests the feed, validation, injection quarantine, idempotent ingest and the broker fan-out.</t>
  </si>
  <si>
    <t xml:space="preserve">TestSeedFeedLoadsAndIsValid; TestValidateNormalizesAndRejects; TestPromptInjectionIsQuarantined; TestAddIsIdempotentAndRejectsRewrites; TestBrokerFansOutAndNeverBlocks</t>
  </si>
  <si>
    <t xml:space="preserve">tests events package and data/events.json</t>
  </si>
  <si>
    <t xml:space="preserve">The seed data file is validated by a test so bad demo data fails the build.</t>
  </si>
  <si>
    <t xml:space="preserve">holdings_test.go</t>
  </si>
  <si>
    <t xml:space="preserve">Tests the MCP client and source against a fake in-test MCP server.</t>
  </si>
  <si>
    <t xml:space="preserve">TestHandshakeToolCallClose; TestSourceMergesPositionsAndReportsMCP; TestUnknownClientIsNotFoundNotFallback; TestFallsBackWhenMCPIsDownOrRejectsUs; TestSSEData</t>
  </si>
  <si>
    <t xml:space="preserve">tests mcp.go and source.go with httptest</t>
  </si>
  <si>
    <t xml:space="preserve">A fake MCP server via httptest lets the whole protocol and fallback logic be tested with no external dependency.</t>
  </si>
  <si>
    <t xml:space="preserve">impact_test.go</t>
  </si>
  <si>
    <t xml:space="preserve">Tests direct and indirect matching, cash exclusion, ranking and dollar impact.</t>
  </si>
  <si>
    <t xml:space="preserve">TestDirectHitWithDollarImpact; TestIndirectMatchesByRegionAndClassButNeverCash; TestDirectNewsOutranksBroadNews; TestEventsForOtherHoldingsAreIgnored</t>
  </si>
  <si>
    <t xml:space="preserve">tests impact.go</t>
  </si>
  <si>
    <t xml:space="preserve">The ranking rule is pinned by a test, so changing the weights breaks the build.</t>
  </si>
  <si>
    <t xml:space="preserve">mcp-servers/advisor-tools/src</t>
  </si>
  <si>
    <t xml:space="preserve">ASGI middleware requiring a bearer SERVICE_TOKEN on every path except /health.</t>
  </si>
  <si>
    <t xml:space="preserve">BearerTokenMiddleware (hmac.compare_digest, 401 JSON); check_token rejects weak or under 24 chars</t>
  </si>
  <si>
    <t xml:space="preserve">wraps the app in main.py</t>
  </si>
  <si>
    <t xml:space="preserve">Token comparison is constant time and auth runs before the MCP SDK sees the request.</t>
  </si>
  <si>
    <t xml:space="preserve">data_store.py</t>
  </si>
  <si>
    <t xml:space="preserve">Read-only portfolio store over JSON files: profiles, holdings with computed gain/loss, trades in a date window, security info.</t>
  </si>
  <si>
    <t xml:space="preserve">PortfolioStore; list_clients; profile; holdings (market_value, unrealized_gain_loss); trades; security; NotFound; CLIENT_ID and SYMBOL regexes</t>
  </si>
  <si>
    <t xml:space="preserve">used by server.py; reads data/portfolios.json and securities.json</t>
  </si>
  <si>
    <t xml:space="preserve">It stands in for a custodian system, so agents see the same tool shape whichever back end exists.</t>
  </si>
  <si>
    <t xml:space="preserve">Starts the advisor-tools MCP server on 127.0.0.1:8500 and wraps it in bearer-token auth.</t>
  </si>
  <si>
    <t xml:space="preserve">build_app() checks token then wraps streamable_http_app in BearerTokenMiddleware; uvicorn on MCP_PORT</t>
  </si>
  <si>
    <t xml:space="preserve">calls server.py build_server, auth.py, config.py</t>
  </si>
  <si>
    <t xml:space="preserve">It fails closed at startup if SERVICE_TOKEN is weak.</t>
  </si>
  <si>
    <t xml:space="preserve">server.py</t>
  </si>
  <si>
    <t xml:space="preserve">Defines the five read-only MCP tools and the public /health route.</t>
  </si>
  <si>
    <t xml:space="preserve">list_clients; get_client_profile; get_holdings; get_recent_trades (days 1-365, default 30); get_security_info; READ_ONLY annotations; run() audit and NotFound to ToolError; ClientId regex</t>
  </si>
  <si>
    <t xml:space="preserve">called by main.py; uses data_store.py; used by the Analyst agent over MCP /mcp</t>
  </si>
  <si>
    <t xml:space="preserve">Tools are small, read-only and annotated, and inputs are schema-validated so bad ids are rejected before reaching data.</t>
  </si>
  <si>
    <t xml:space="preserve">mcp-servers/advisor-tools/scripts</t>
  </si>
  <si>
    <t xml:space="preserve">try_mcp.py</t>
  </si>
  <si>
    <t xml:space="preserve">Small MCP client that connects, lists tools (discovery) and calls one, for manual demos.</t>
  </si>
  <si>
    <t xml:space="preserve">main(tool, arg); streamable_http_client; list_tools; call_tool</t>
  </si>
  <si>
    <t xml:space="preserve">calls the running server on :8500 /mcp</t>
  </si>
  <si>
    <t xml:space="preserve">Settings for the MCP server read from root .env or local .env.</t>
  </si>
  <si>
    <t xml:space="preserve">Settings: MCP_PORT=8500, host 127.0.0.1, service_token, data_dir, max_trade_lookback_days=365</t>
  </si>
  <si>
    <t xml:space="preserve">used by main.py, server.py, scripts/try_mcp.py</t>
  </si>
  <si>
    <t xml:space="preserve">mcp-servers/advisor-tools/tests</t>
  </si>
  <si>
    <t xml:space="preserve">test_server.py</t>
  </si>
  <si>
    <t xml:space="preserve">Tests tools in-process via mcp Client plus HTTP auth and weak-token refusal.</t>
  </si>
  <si>
    <t xml:space="preserve">test_discovery_lists_five_read_only_tools; test_holdings_values; test_recent_trades_window; test_invalid_arguments_rejected_by_schema; test_http_requires_token_but_health_is_public; test_refuses_weak_token</t>
  </si>
  <si>
    <t xml:space="preserve">tests server.py, data_store.py, auth.py, main.py</t>
  </si>
  <si>
    <t xml:space="preserve">In-process MCP clients test real discovery and calls in milliseconds without a network.</t>
  </si>
  <si>
    <t xml:space="preserve">Example env for the MCP server.</t>
  </si>
  <si>
    <t xml:space="preserve">SERVICE_TOKEN; MCP_PORT; HOST; DATA_DIR</t>
  </si>
  <si>
    <t xml:space="preserve">Explains MCP, the tools, port, auth and usage.</t>
  </si>
  <si>
    <t xml:space="preserve">Setup, start, try and troubleshooting steps for the MCP server.</t>
  </si>
  <si>
    <t xml:space="preserve">mcp-servers/advisor-tools/data</t>
  </si>
  <si>
    <t xml:space="preserve">portfolios.json</t>
  </si>
  <si>
    <t xml:space="preserve">Fictional sample portfolios for three households (patel-001, chen-002, garcia-003): accounts, target allocation, positions, trades; as_of 2026-10-01.</t>
  </si>
  <si>
    <t xml:space="preserve">read by data_store.py</t>
  </si>
  <si>
    <t xml:space="preserve">securities.json</t>
  </si>
  <si>
    <t xml:space="preserve">Fictional security reference data with asset class, type, description and replacement funds for tax-loss swaps.</t>
  </si>
  <si>
    <t xml:space="preserve">Pytest config with src on the path.</t>
  </si>
  <si>
    <t xml:space="preserve">Dependencies for the MCP server.</t>
  </si>
  <si>
    <t xml:space="preserve">mcp&gt;=2.3; uvicorn; pydantic-settings; pytest; httpx</t>
  </si>
  <si>
    <t xml:space="preserve">rag/data/sample-docs</t>
  </si>
  <si>
    <t xml:space="preserve">client-communications-policy.md</t>
  </si>
  <si>
    <t xml:space="preserve">Compliance policy: fair and balanced communication, required disclosures, AI-assisted drafts. Fictional sample document with front matter metadata.</t>
  </si>
  <si>
    <t xml:space="preserve">ingested and searched by the Librarian agent (RAG)</t>
  </si>
  <si>
    <t xml:space="preserve">concentration-policy.md</t>
  </si>
  <si>
    <t xml:space="preserve">Single-stock concentration limits (10 percent and 15 percent) and review steps. Fictional sample document with front matter metadata.</t>
  </si>
  <si>
    <t xml:space="preserve">equity-research-xyz.md</t>
  </si>
  <si>
    <t xml:space="preserve">Research note: XYZ Corp downgraded to Hold after weak Q3 revenue. Fictional sample document with front matter metadata.</t>
  </si>
  <si>
    <t xml:space="preserve">intl-bond-fund-factsheet.md</t>
  </si>
  <si>
    <t xml:space="preserve">Fact sheet for a fictional international bond fund (expense, duration, risks). Fictional sample document with front matter metadata.</t>
  </si>
  <si>
    <t xml:space="preserve">rebalancing-policy.md</t>
  </si>
  <si>
    <t xml:space="preserve">Rebalancing guidelines: review quarterly, rebalance at drift over 5 points. Fictional sample document with front matter metadata.</t>
  </si>
  <si>
    <t xml:space="preserve">rmd-guide.md</t>
  </si>
  <si>
    <t xml:space="preserve">Advisor summary of required minimum distributions under SECURE 2.0 (age 73 rising to 75). Fictional sample document with front matter metadata.</t>
  </si>
  <si>
    <t xml:space="preserve">tax-loss-harvesting.md</t>
  </si>
  <si>
    <t xml:space="preserve">Guide to tax-loss harvesting and the 30-day wash-sale rule across household accounts. Fictional sample document with front matter metadata.</t>
  </si>
  <si>
    <t xml:space="preserve">vendor-market-note.md</t>
  </si>
  <si>
    <t xml:space="preserve">Third-party market commentary that contains an embedded prompt-injection line, used to test that retrieved text is treated as data. Fictional sample document with front matter metadata.</t>
  </si>
  <si>
    <t xml:space="preserve">Retrieved text from the injection-bearing vendor note must be treated as data, never instructions.</t>
  </si>
  <si>
    <t xml:space="preserve">frontend/web/src</t>
  </si>
  <si>
    <t xml:space="preserve">App.tsx</t>
  </si>
  <si>
    <t xml:space="preserve">Top-level routes: shows SignIn when there is no session, otherwise the Workspace frame with a Welcome page and the per-client Dossier.</t>
  </si>
  <si>
    <t xml:space="preserve">App(); routes / (Welcome) and clients/:clientId (Dossier); catch-all redirect to /</t>
  </si>
  <si>
    <t xml:space="preserve">Reads useAuth() from lib/auth.tsx; renders pages/SignIn, pages/Workspace, pages/Dossier</t>
  </si>
  <si>
    <t xml:space="preserve">Routing is gated on session state, so signed-out users can never reach a dossier route.</t>
  </si>
  <si>
    <t xml:space="preserve">frontend/web/src/api</t>
  </si>
  <si>
    <t xml:space="preserve">client.ts</t>
  </si>
  <si>
    <t xml:space="preserve">The only place in the web app that calls fetch for JSON; attaches the bearer token, signs out on 401 and keeps X-Trace-Id on errors.</t>
  </si>
  <si>
    <t xml:space="preserve">ApiError(status, traceId); setToken(); setUnauthorizedHandler(); request(); api.get/post/login (POST /v1/auth/login)</t>
  </si>
  <si>
    <t xml:space="preserve">Used by api/hooks.ts and lib/auth.tsx; talks to Conductor :8000 through the Vite /v1 proxy</t>
  </si>
  <si>
    <t xml:space="preserve">One network door means token handling and error shape live in one place, and every error carries a trace ID to search in agent logs.</t>
  </si>
  <si>
    <t xml:space="preserve">hooks.ts</t>
  </si>
  <si>
    <t xml:space="preserve">TanStack Query hooks, one per need, so screens ask for data without knowing URLs.</t>
  </si>
  <si>
    <t xml:space="preserve">useClients (GET /v1/clients); useOverview (GET /v1/clients/{id}/overview, staleTime 60s); useRetirement and useStressTest (actuary skills); useDraftEmail (herald draft_email); useApproveDraft (POST /v1/drafts/approve); useAsk (POST /v1/chat)</t>
  </si>
  <si>
    <t xml:space="preserve">Calls api/client.ts; used by Workspace, Dossier, RetirementSection, EmailComposer, AskPanel</t>
  </si>
  <si>
    <t xml:space="preserve">placeholderData on retirement keeps old numbers on screen while the Monte Carlo reruns, avoiding flicker.</t>
  </si>
  <si>
    <t xml:space="preserve">stream.ts</t>
  </si>
  <si>
    <t xml:space="preserve">Reads the Conductor's live market news stream (SSE) with fetch so an Authorization header can be sent, and reconnects with backoff.</t>
  </si>
  <si>
    <t xml:space="preserve">parseSSE(); openStream(token, clientId, handlers) returns a stop function; backoff 1s doubling to 30s; handles event 'market_event'</t>
  </si>
  <si>
    <t xml:space="preserve">Called by pages/Workspace.tsx; hits GET /v1/stream on the Conductor, which relays Pulse (Go)</t>
  </si>
  <si>
    <t xml:space="preserve">EventSource cannot send headers and tokens must not go in URLs, so SSE is parsed by hand over fetch.</t>
  </si>
  <si>
    <t xml:space="preserve">frontend/web/src/components</t>
  </si>
  <si>
    <t xml:space="preserve">EmailComposer.tsx</t>
  </si>
  <si>
    <t xml:space="preserve">UI component</t>
  </si>
  <si>
    <t xml:space="preserve">Human-in-the-loop email flow: Herald drafts, advisor edits, Sentinel re-checks on approval, and approval only logs a CRM note.</t>
  </si>
  <si>
    <t xml:space="preserve">EmailComposer(); onDraft; onApprove; hasPlaceholder regex blocks approval; shows revised_body when refused</t>
  </si>
  <si>
    <t xml:space="preserve">Calls herald/draft_email and POST /v1/drafts/approve through hooks.ts; types Approval</t>
  </si>
  <si>
    <t xml:space="preserve">Approve is disabled while [placeholders] remain and any edit clears the approval; the app never sends email itself.</t>
  </si>
  <si>
    <t xml:space="preserve">NeedsYou.tsx</t>
  </si>
  <si>
    <t xml:space="preserve">Builds the 'Needs you' list from all agent answers, most urgent first, and renders it.</t>
  </si>
  <si>
    <t xml:space="preserve">collectNeeds(overview) pure function: KYC blockers, KYC actions, overdue advisor tasks, high direct market events, rebalance drift, concentration, risk misalignment; NeedsYou()</t>
  </si>
  <si>
    <t xml:space="preserve">Used by Dossier; tested in tests/units.test.ts; mobile logic/needs.dart mirrors it</t>
  </si>
  <si>
    <t xml:space="preserve">Prioritisation rules are a pure function, so they are unit-tested without rendering anything.</t>
  </si>
  <si>
    <t xml:space="preserve">frontend/web/src/lib</t>
  </si>
  <si>
    <t xml:space="preserve">auth.tsx</t>
  </si>
  <si>
    <t xml:space="preserve">Sign-in state: stores the JWT in memory and sessionStorage, reads its exp, and signs out on expiry or any 401.</t>
  </si>
  <si>
    <t xml:space="preserve">AuthProvider; useAuth(); signIn/signOut; jwtExpiry() decodes exp (display only); storage key 'atrium.session'</t>
  </si>
  <si>
    <t xml:space="preserve">Uses api/client.ts (login, setToken, setUnauthorizedHandler); consumed by App, SignIn, Workspace</t>
  </si>
  <si>
    <t xml:space="preserve">Token goes in sessionStorage not localStorage (cleared on tab close); the server, not the client, verifies the JWT signature.</t>
  </si>
  <si>
    <t xml:space="preserve">main.tsx</t>
  </si>
  <si>
    <t xml:space="preserve">Browser entry point: mounts React with the query cache, auth provider and router, and loads bundled fonts and the stylesheet.</t>
  </si>
  <si>
    <t xml:space="preserve">QueryClient with retry rule (no retry on 4xx ApiError, max 2 otherwise); refetchOnWindowFocus off; StrictMode; fontsource imports</t>
  </si>
  <si>
    <t xml:space="preserve">Loaded by index.html; renders App.tsx inside AuthProvider (lib/auth.tsx) and BrowserRouter; uses ApiError from api/client.ts</t>
  </si>
  <si>
    <t xml:space="preserve">Fonts are bundled via @fontsource so no request goes to Google, which fits the strict CSP and privacy.</t>
  </si>
  <si>
    <t xml:space="preserve">frontend/web/src/pages</t>
  </si>
  <si>
    <t xml:space="preserve">Dossier.tsx</t>
  </si>
  <si>
    <t xml:space="preserve">One household's file read top to bottom: header, agent strip, Needs you, Portfolio, Retirement, Market, Meetings, email composer and Ask panel.</t>
  </si>
  <si>
    <t xml:space="preserve">Dossier(); useOverview(clientId); 404 message; SectionBody wraps each agent section</t>
  </si>
  <si>
    <t xml:space="preserve">Composes SwarmStrip, NeedsYou, PortfolioSection, RetirementSection, MarketMeetings, EmailComposer, AskPanel, Memo</t>
  </si>
  <si>
    <t xml:space="preserve">The overview fans out to six agents in parallel on the server and each section degrades independently.</t>
  </si>
  <si>
    <t xml:space="preserve">Workspace.tsx</t>
  </si>
  <si>
    <t xml:space="preserve">The frame around every screen: household list on the left, live market news feed under it, and the routed page on the right.</t>
  </si>
  <si>
    <t xml:space="preserve">Workspace(); Welcome(); useClients; openStream in useEffect keeping latest 8 events; stream status (connecting/live/offline)</t>
  </si>
  <si>
    <t xml:space="preserve">Uses api/hooks.ts, api/stream.ts, lib/auth.tsx; renders Outlet for Dossier; shows ErrorNote/Skeleton</t>
  </si>
  <si>
    <t xml:space="preserve">The stream is opened once per token in an effect and the cleanup aborts it, so signing out closes the connection.</t>
  </si>
  <si>
    <t xml:space="preserve">frontend/web/tests</t>
  </si>
  <si>
    <t xml:space="preserve">screens.test.tsx</t>
  </si>
  <si>
    <t xml:space="preserve">Screen-level tests: sign-in success, wrong password, login disabled, dossier content, failed agent, unknown household, and email approve/refuse flows.</t>
  </si>
  <si>
    <t xml:space="preserve">describe 'sign in' (3 tests); describe 'dossier' (5 tests)</t>
  </si>
  <si>
    <t xml:space="preserve">Renders App with helpers.tsx fake Conductor</t>
  </si>
  <si>
    <t xml:space="preserve">Covers the safety rule that approval is blocked on placeholders and that Sentinel's revised text is shown on refusal.</t>
  </si>
  <si>
    <t xml:space="preserve">vite.config.ts</t>
  </si>
  <si>
    <t xml:space="preserve">Vite dev/build config: dev server on :5173, proxy of /v1 to the Conductor, strict CSP injected into production builds, and vitest setup.</t>
  </si>
  <si>
    <t xml:space="preserve">Plugin atrium-csp (default-src 'self', connect-src 'self'...); proxy /v1 -&gt; CONDUCTOR_URL (default http://127.0.0.1:8000); preview port 4173; test env jsdom</t>
  </si>
  <si>
    <t xml:space="preserve">Reads CONDUCTOR_URL from .env.local; uses tests/setup.ts</t>
  </si>
  <si>
    <t xml:space="preserve">The proxy keeps the API same-origin (no CORS) and the CSP restricts scripts, styles, fonts and API calls to the app's own origin.</t>
  </si>
  <si>
    <t xml:space="preserve">TypeScript types mirroring what the Conductor and agents return (only fields the screens use).</t>
  </si>
  <si>
    <t xml:space="preserve">Login; ClientSummary; Section&lt;T&gt; and Overview; Household, Portfolio, Kyc, Risk, Retirement, StressTest, MarketEvent, Meetings, EmailDraft, Approval, SkillResult, ChatAnswer</t>
  </si>
  <si>
    <t xml:space="preserve">Imported by api/hooks.ts and all components; shapes match agents/python/orchestrator recorded_responses.json</t>
  </si>
  <si>
    <t xml:space="preserve">Each overview section carries its own status/error, so one failed agent does not break the whole page.</t>
  </si>
  <si>
    <t xml:space="preserve">AskPanel.tsx</t>
  </si>
  <si>
    <t xml:space="preserve">Free-form question box that sends a message to the Conductor chat endpoint and shows the answer with which agents helped.</t>
  </si>
  <si>
    <t xml:space="preserve">AskPanel(); SUGGESTIONS; useAsk(); shows steps, plan source (llm or rules) and guardrail notes</t>
  </si>
  <si>
    <t xml:space="preserve">Calls POST /v1/chat via hooks.ts; uses AGENT_NAME from SwarmStrip and ErrorNote</t>
  </si>
  <si>
    <t xml:space="preserve">react-markdown renders text only (no raw HTML), so a model answer cannot inject script.</t>
  </si>
  <si>
    <t xml:space="preserve">Memo.tsx</t>
  </si>
  <si>
    <t xml:space="preserve">Layout wrapper for a dossier section (title in the margin) and SectionBody that shows a clear message when an agent failed.</t>
  </si>
  <si>
    <t xml:space="preserve">Memo(); SectionBody({section, children})</t>
  </si>
  <si>
    <t xml:space="preserve">Used by Dossier; imports AGENT_NAME from SwarmStrip; takes Section&lt;T&gt; from api/types.ts</t>
  </si>
  <si>
    <t xml:space="preserve">Failed agents are named in the UI and the rest of the file stays usable (graceful degradation).</t>
  </si>
  <si>
    <t xml:space="preserve">RetirementSection.tsx</t>
  </si>
  <si>
    <t xml:space="preserve">Retirement what-if: pick up to three retirement ages and a spending amount, rerun the projection, and optionally show a stress test table.</t>
  </si>
  <si>
    <t xml:space="preserve">RetirementSection(); toggle() limits 1-3 ages; applySpending(); useRetirement/useStressTest; chance() for odds</t>
  </si>
  <si>
    <t xml:space="preserve">Calls actuary project_retirement and stress_test via hooks.ts (Java Actuary Monte Carlo)</t>
  </si>
  <si>
    <t xml:space="preserve">Stress test is fetched only on demand (enabled flag), avoiding an expensive call on every page load.</t>
  </si>
  <si>
    <t xml:space="preserve">format.ts</t>
  </si>
  <si>
    <t xml:space="preserve">Shared money, date and probability formatting so every screen prints values the same way.</t>
  </si>
  <si>
    <t xml:space="preserve">money(); moneyShort() ($2.35M); signedMoney() with real minus; day()/shortDay() read as UTC; chance() never says 100% or 0%; CLASS_LABEL</t>
  </si>
  <si>
    <t xml:space="preserve">Used by Dossier, NeedsYou, PortfolioSection, RetirementSection, MarketMeetings, Workspace</t>
  </si>
  <si>
    <t xml:space="preserve">chance() clamps to 'over 99%' or 'under 1%' so a projection never sounds certain, which matters for compliance.</t>
  </si>
  <si>
    <t xml:space="preserve">SignIn.tsx</t>
  </si>
  <si>
    <t xml:space="preserve">Sign-in page with username/password form and plain-language errors for 401, 404 (login disabled) and 429 (rate limited).</t>
  </si>
  <si>
    <t xml:space="preserve">SignIn(); maps ApiError status to messages; clears password after every attempt</t>
  </si>
  <si>
    <t xml:space="preserve">Calls useAuth().signIn -&gt; POST /v1/auth/login; mentions DEV_LOGIN_PASSWORD from .env</t>
  </si>
  <si>
    <t xml:space="preserve">Password field is cleared after each attempt and errors are specific but do not reveal which of username or password was wrong.</t>
  </si>
  <si>
    <t xml:space="preserve">helpers.tsx</t>
  </si>
  <si>
    <t xml:space="preserve">Test helpers: a fake Conductor fetch that answers from recorded fixtures, fake JWT, signed-in state and a render wrapper with providers.</t>
  </si>
  <si>
    <t xml:space="preserve">fakeConductor(extra); json(); fakeJwt(); signedIn(); PASS; renderApp()</t>
  </si>
  <si>
    <t xml:space="preserve">Used by screens.test.tsx and units.test.ts; loads both fixture JSON files</t>
  </si>
  <si>
    <t xml:space="preserve">Tests stub fetch with real recorded agent outputs, so they run offline and still match real response shapes.</t>
  </si>
  <si>
    <t xml:space="preserve">units.test.ts</t>
  </si>
  <si>
    <t xml:space="preserve">Unit tests for formatting, SSE parsing, JWT expiry, the API client (token header, trace ID, 401 sign-out) and collectNeeds.</t>
  </si>
  <si>
    <t xml:space="preserve">format, parseSSE, jwtExpiry, api client, collectNeeds tests</t>
  </si>
  <si>
    <t xml:space="preserve">Imports from src/api, src/lib and src/components/NeedsYou</t>
  </si>
  <si>
    <t xml:space="preserve">Keeps node_modules, dist, .env files and coverage out of git.</t>
  </si>
  <si>
    <t xml:space="preserve">Overview of the web app: architecture, which screen uses which Conductor endpoint, layout, security choices and scripts.</t>
  </si>
  <si>
    <t xml:space="preserve">Describes the Conductor :8000 API surface</t>
  </si>
  <si>
    <t xml:space="preserve">Step-by-step guide to run tests, start the Conductor with mock or real agents, a 12-step manual checklist, and troubleshooting (PowerShell).</t>
  </si>
  <si>
    <t xml:space="preserve">References orchestrator run.ps1, DEV_LOGIN_PASSWORD, REAL_AGENTS, Pulse :8301</t>
  </si>
  <si>
    <t xml:space="preserve">HTML shell with the root div, no-referrer policy and the module script for src/main.tsx.</t>
  </si>
  <si>
    <t xml:space="preserve">meta referrer no-referrer; #root; script /src/main.tsx</t>
  </si>
  <si>
    <t xml:space="preserve">Served by Vite; production build gets a CSP meta tag injected by vite.config.ts</t>
  </si>
  <si>
    <t xml:space="preserve">The no-referrer policy stops URLs leaking to other sites.</t>
  </si>
  <si>
    <t xml:space="preserve">npm manifest: React 19, TanStack Query, react-router 7, react-markdown, Vite 8 and vitest, plus scripts.</t>
  </si>
  <si>
    <t xml:space="preserve">scripts dev/build/preview/typecheck/test; engines node &gt;=22.12</t>
  </si>
  <si>
    <t xml:space="preserve">Used by npm ci; lockfile is excluded from this map</t>
  </si>
  <si>
    <t xml:space="preserve">frontend/web/public</t>
  </si>
  <si>
    <t xml:space="preserve">atrium.svg</t>
  </si>
  <si>
    <t xml:space="preserve">Favicon: a house-shaped logo in the app's green and brass.</t>
  </si>
  <si>
    <t xml:space="preserve">Referenced by index.html</t>
  </si>
  <si>
    <t xml:space="preserve">ErrorNote.tsx</t>
  </si>
  <si>
    <t xml:space="preserve">Shared error box (with trace ID) and loading skeleton.</t>
  </si>
  <si>
    <t xml:space="preserve">ErrorNote({error, what}); Skeleton()</t>
  </si>
  <si>
    <t xml:space="preserve">Used by Workspace, Dossier, RetirementSection, AskPanel, EmailComposer; reads ApiError.traceId</t>
  </si>
  <si>
    <t xml:space="preserve">Showing the trace ID lets support find the same request in every agent's logs.</t>
  </si>
  <si>
    <t xml:space="preserve">MarketMeetings.tsx</t>
  </si>
  <si>
    <t xml:space="preserve">Renders the Market events list (Pulse) and the Meetings summary (Scribe) sections.</t>
  </si>
  <si>
    <t xml:space="preserve">MarketBody (severity dot, why, signed impact); MeetingsBody (action items, concerns, life events, compliance flags)</t>
  </si>
  <si>
    <t xml:space="preserve">Rendered by Dossier inside SectionBody; uses lib/format.ts</t>
  </si>
  <si>
    <t xml:space="preserve">PortfolioSection.tsx</t>
  </si>
  <si>
    <t xml:space="preserve">Portfolio section: allocation bars (now vs target with drift), risk sentence, and tax-loss ideas table.</t>
  </si>
  <si>
    <t xml:space="preserve">Allocation(); PortfolioBody({p, risk}); drift flagged when |drift| &gt;= 5 points</t>
  </si>
  <si>
    <t xml:space="preserve">Rendered by Dossier; types from api/types.ts; formatting from lib/format.ts</t>
  </si>
  <si>
    <t xml:space="preserve">Bars have role=img with aria-labels so the chart is readable by screen readers.</t>
  </si>
  <si>
    <t xml:space="preserve">SwarmStrip.tsx</t>
  </si>
  <si>
    <t xml:space="preserve">Strip showing which agents answered for this file and how long each took; also exports the agent display-name map.</t>
  </si>
  <si>
    <t xml:space="preserve">AGENT_NAME map (liaison, analyst, notary, actuary, pulse, scribe, herald, librarian, sentinel); SwarmStrip()</t>
  </si>
  <si>
    <t xml:space="preserve">Used by Dossier; AGENT_NAME imported by Memo and AskPanel</t>
  </si>
  <si>
    <t xml:space="preserve">frontend/web/src/styles</t>
  </si>
  <si>
    <t xml:space="preserve">app.css</t>
  </si>
  <si>
    <t xml:space="preserve">The whole visual design: color tokens, light and dark themes, layout, sections, forms, notes and small-screen rules.</t>
  </si>
  <si>
    <t xml:space="preserve">CSS variables (--paper, --ink, --ledger, --brass); prefers-color-scheme dark; @media max-width 960px/760px; reduced-motion rule</t>
  </si>
  <si>
    <t xml:space="preserve">Imported by main.tsx; class names used across components</t>
  </si>
  <si>
    <t xml:space="preserve">frontend/web/tests/fixtures</t>
  </si>
  <si>
    <t xml:space="preserve">overview-patel.json</t>
  </si>
  <si>
    <t xml:space="preserve">Recorded overview response for the fictional Patel household (six agent sections).</t>
  </si>
  <si>
    <t xml:space="preserve">Used by tests/helpers.tsx; same file as frontend/mobile/test/fixtures</t>
  </si>
  <si>
    <t xml:space="preserve">skills-patel.json</t>
  </si>
  <si>
    <t xml:space="preserve">Recorded outputs of actuary project_retirement and stress_test and herald draft_email for Patel.</t>
  </si>
  <si>
    <t xml:space="preserve">Used by tests/helpers.tsx fakeConductor</t>
  </si>
  <si>
    <t xml:space="preserve">setup.ts</t>
  </si>
  <si>
    <t xml:space="preserve">Vitest setup: jest-dom matchers and cleanup (restore mocks, clear sessionStorage) after each test.</t>
  </si>
  <si>
    <t xml:space="preserve">afterEach cleanup</t>
  </si>
  <si>
    <t xml:space="preserve">Referenced by vite.config.ts test.setupFiles</t>
  </si>
  <si>
    <t xml:space="preserve">Strict TypeScript settings for src, tests and vite.config.ts.</t>
  </si>
  <si>
    <t xml:space="preserve">strict; noUncheckedIndexedAccess; noUnusedLocals; verbatimModuleSyntax; noEmit</t>
  </si>
  <si>
    <t xml:space="preserve">Used by npm run typecheck and build</t>
  </si>
  <si>
    <t xml:space="preserve">Very strict compiler flags catch unhandled undefined values at build time.</t>
  </si>
  <si>
    <t xml:space="preserve">frontend/mobile/lib/api</t>
  </si>
  <si>
    <t xml:space="preserve">api_client.dart</t>
  </si>
  <si>
    <t xml:space="preserve">The only network class: attaches the bearer token, 30s timeout, signs out on expired token or 401, keeps X-Trace-Id, and opens the SSE stream.</t>
  </si>
  <si>
    <t xml:space="preserve">ApiException; ApiClient; _send(); login, clients, overview, skill, approveDraft, ask; marketEvents() stream (GET /v1/stream)</t>
  </si>
  <si>
    <t xml:space="preserve">Used via session.api and AppScope by every screen; parses with models.dart and sse.dart; talks to Conductor :8000</t>
  </si>
  <si>
    <t xml:space="preserve">The http.Client is injected so tests use MockClient; the token goes in a header, never a URL.</t>
  </si>
  <si>
    <t xml:space="preserve">frontend/mobile/lib/logic</t>
  </si>
  <si>
    <t xml:space="preserve">needs.dart</t>
  </si>
  <si>
    <t xml:space="preserve">Pure Dart rules that pull the 'Needs you' items out of the six agent answers, most urgent first (same as the web app).</t>
  </si>
  <si>
    <t xml:space="preserve">Need; collectNeeds(Overview): blockers, paperwork, overdue tasks, high direct news, rebalance, concentration, risk</t>
  </si>
  <si>
    <t xml:space="preserve">Used by screens/household_screen.dart; tested in test/unit_test.dart</t>
  </si>
  <si>
    <t xml:space="preserve">Logic is separate from widgets so it can be unit-tested directly.</t>
  </si>
  <si>
    <t xml:space="preserve">frontend/mobile/lib</t>
  </si>
  <si>
    <t xml:space="preserve">main.dart</t>
  </si>
  <si>
    <t xml:space="preserve">App entry: builds the ApiClient and Session, then AtriumApp restores any saved session and shows sign-in or the home tabs.</t>
  </si>
  <si>
    <t xml:space="preserve">main(); AtriumApp (liveNews flag for tests); _onSessionChanged pops to root on sign-out; FutureBuilder + ListenableBuilder</t>
  </si>
  <si>
    <t xml:space="preserve">Uses config.dart, api/api_client.dart, state/session.dart, state/app_scope.dart, screens/home_shell.dart, screens/sign_in_screen.dart, ui/theme.dart</t>
  </si>
  <si>
    <t xml:space="preserve">When the session ends, all open screens are popped so a stale household is never left visible.</t>
  </si>
  <si>
    <t xml:space="preserve">frontend/mobile/lib/screens</t>
  </si>
  <si>
    <t xml:space="preserve">email_screen.dart</t>
  </si>
  <si>
    <t xml:space="preserve">Draft, edit and approve an email: Herald drafts, Sentinel re-checks on approval, and approval logs a CRM note (nothing is sent).</t>
  </si>
  <si>
    <t xml:space="preserve">EmailScreen; _makeDraft (herald draft_email); _approve (POST /v1/drafts/approve); placeholder RegExp blocks approval; _startOver</t>
  </si>
  <si>
    <t xml:space="preserve">Uses ApiClient via AppScope; models EmailDraft and Approval</t>
  </si>
  <si>
    <t xml:space="preserve">Approve is disabled while [placeholders] remain and a refusal replaces the body with Sentinel's revised text.</t>
  </si>
  <si>
    <t xml:space="preserve">household_screen.dart</t>
  </si>
  <si>
    <t xml:space="preserve">The household dossier on a phone: header, agent strip, Needs you, Portfolio, Retirement odds, Market, Meetings and a Write button.</t>
  </si>
  <si>
    <t xml:space="preserve">HouseholdScreen; _Dossier; _NeedsList; _PortfolioBody; _AllocationRow; RetirementPanel (tap ages, up to 3); EventRow; _MeetingsBody</t>
  </si>
  <si>
    <t xml:space="preserve">Calls api.overview and api.skill('actuary','project_retirement'); uses logic/needs.dart; opens email_screen and ask_screen</t>
  </si>
  <si>
    <t xml:space="preserve">Each section shows AgentDown if its agent failed, so one failure does not blank the page; 404 shows a clear not-found note.</t>
  </si>
  <si>
    <t xml:space="preserve">frontend/mobile/lib/state</t>
  </si>
  <si>
    <t xml:space="preserve">session.dart</t>
  </si>
  <si>
    <t xml:space="preserve">Sign-in state: stores the JWT in the phone's secure storage, restores it on start if still valid, signs out on expiry or 401.</t>
  </si>
  <si>
    <t xml:space="preserve">TokenStore interface; SecureTokenStore (flutter_secure_storage); MemoryTokenStore (tests); jwtExpiry(); Session.restore/signIn/signOut</t>
  </si>
  <si>
    <t xml:space="preserve">Used by main.dart and screens via AppScope; sets api.onUnauthorized</t>
  </si>
  <si>
    <t xml:space="preserve">Token lives in Android Keystore or iOS Keychain, not plain preferences, and TokenStore is an interface so tests swap in memory.</t>
  </si>
  <si>
    <t xml:space="preserve">frontend/mobile/android_overrides/app/src/debug</t>
  </si>
  <si>
    <t xml:space="preserve">AndroidManifest.xml</t>
  </si>
  <si>
    <t xml:space="preserve">Debug-only Android manifest: INTERNET permission and the network security config reference.</t>
  </si>
  <si>
    <t xml:space="preserve">uses-permission INTERNET; application networkSecurityConfig</t>
  </si>
  <si>
    <t xml:space="preserve">Copied into android/app/src/debug; references res/xml/network_security_config.xml</t>
  </si>
  <si>
    <t xml:space="preserve">Applies only to debug builds, so release builds keep Android's HTTPS-only default.</t>
  </si>
  <si>
    <t xml:space="preserve">frontend/mobile/android_overrides/app/src/debug/res/xml</t>
  </si>
  <si>
    <t xml:space="preserve">network_security_config.xml</t>
  </si>
  <si>
    <t xml:space="preserve">Allows cleartext http only to 10.0.2.2, 127.0.0.1 and localhost in debug builds so the app can reach the local Conductor.</t>
  </si>
  <si>
    <t xml:space="preserve">domain-config cleartextTrafficPermitted for three local hosts</t>
  </si>
  <si>
    <t xml:space="preserve">Referenced by the debug AndroidManifest.xml</t>
  </si>
  <si>
    <t xml:space="preserve">Cleartext is whitelisted to specific local hosts and only in debug, never in release.</t>
  </si>
  <si>
    <t xml:space="preserve">models.dart</t>
  </si>
  <si>
    <t xml:space="preserve">Dart classes for every Conductor response, parsed defensively so a missing field becomes an empty value rather than a crash.</t>
  </si>
  <si>
    <t xml:space="preserve">Login; ClientSummary.shortName; Section&lt;T&gt;; Overview; Household; Portfolio; Kyc; Risk; Retirement; MarketEvent; Meetings; SkillResult; EmailDraft; Approval; ChatAnswer</t>
  </si>
  <si>
    <t xml:space="preserve">Used by api_client.dart, screens, logic/needs.dart; mirrors test fixtures</t>
  </si>
  <si>
    <t xml:space="preserve">Defensive fromJson helpers mean one agent changing its output cannot take the app down.</t>
  </si>
  <si>
    <t xml:space="preserve">sse.dart</t>
  </si>
  <si>
    <t xml:space="preserve">Parses Server-Sent Events text into messages, handling CRLF and events split across network chunks.</t>
  </si>
  <si>
    <t xml:space="preserve">SseMessage; parseSse(); sseMessages(Stream&lt;List&lt;int&gt;&gt;)</t>
  </si>
  <si>
    <t xml:space="preserve">Used by ApiClient.marketEvents; tested in test/unit_test.dart</t>
  </si>
  <si>
    <t xml:space="preserve">config.dart</t>
  </si>
  <si>
    <t xml:space="preserve">Chooses the Conductor URL per platform: CONDUCTOR_URL define, Android emulator 10.0.2.2:8000, otherwise 127.0.0.1:8000.</t>
  </si>
  <si>
    <t xml:space="preserve">AppConfig.conductorUrl; String.fromEnvironment('CONDUCTOR_URL')</t>
  </si>
  <si>
    <t xml:space="preserve">Used by main.dart</t>
  </si>
  <si>
    <t xml:space="preserve">ask_screen.dart</t>
  </si>
  <si>
    <t xml:space="preserve">Free-form question screen, general or about one household, showing the answer, which agents answered and guardrail notes.</t>
  </si>
  <si>
    <t xml:space="preserve">AskScreen(client?); _ask(); suggestions; plainText() on answer; plan source llm or rules</t>
  </si>
  <si>
    <t xml:space="preserve">Calls api.ask -&gt; POST /v1/chat</t>
  </si>
  <si>
    <t xml:space="preserve">home_shell.dart</t>
  </si>
  <si>
    <t xml:space="preserve">Bottom tab bar (Households, News, Ask) that owns the NewsController and shows an unseen-news badge.</t>
  </si>
  <si>
    <t xml:space="preserve">HomeShell; IndexedStack keeps tabs alive; NavigationBar with Badge; markSeen on opening News</t>
  </si>
  <si>
    <t xml:space="preserve">Shown by main.dart when signed in; hosts households_screen, news_screen, ask_screen</t>
  </si>
  <si>
    <t xml:space="preserve">IndexedStack keeps the news stream and half-typed questions alive when switching tabs.</t>
  </si>
  <si>
    <t xml:space="preserve">households_screen.dart</t>
  </si>
  <si>
    <t xml:space="preserve">List of the advisor's households with pull-to-refresh, sign-out button and tap to open a household.</t>
  </si>
  <si>
    <t xml:space="preserve">HouseholdsScreen; clients future started once in didChangeDependencies; RefreshIndicator</t>
  </si>
  <si>
    <t xml:space="preserve">Calls api.clients() (GET /v1/clients); pushes household_screen.dart</t>
  </si>
  <si>
    <t xml:space="preserve">The request is started once outside build so rebuilds do not refetch.</t>
  </si>
  <si>
    <t xml:space="preserve">sign_in_screen.dart</t>
  </si>
  <si>
    <t xml:space="preserve">Sign-in form with plain-language errors for 401, 404 and 429 and a session-expired notice.</t>
  </si>
  <si>
    <t xml:space="preserve">SignInScreen; _submit() calls session.signIn; password cleared; mounted checks</t>
  </si>
  <si>
    <t xml:space="preserve">Uses Session via AppScope -&gt; POST /v1/auth/login</t>
  </si>
  <si>
    <t xml:space="preserve">The password is cleared after each try and the screen checks mounted because a successful sign-in replaces it.</t>
  </si>
  <si>
    <t xml:space="preserve">news_controller.dart</t>
  </si>
  <si>
    <t xml:space="preserve">Keeps the live news stream open, stores the latest 30 events, counts unseen ones and reconnects with exponential backoff.</t>
  </si>
  <si>
    <t xml:space="preserve">NewsController (ChangeNotifier); NewsStatus; start(); markSeen(); _scheduleRetry backoff 1s to 30s; supported = !kIsWeb</t>
  </si>
  <si>
    <t xml:space="preserve">Created in screens/home_shell.dart; reads ApiClient.marketEvents; shown by news_screen.dart</t>
  </si>
  <si>
    <t xml:space="preserve">Disabled on web because Flutter's web http client buffers the whole response and an SSE stream never ends.</t>
  </si>
  <si>
    <t xml:space="preserve">frontend/mobile/lib/ui</t>
  </si>
  <si>
    <t xml:space="preserve">format.dart</t>
  </si>
  <si>
    <t xml:space="preserve">Money, date, probability and Markdown-to-text formatting, matching the web app's formatting.</t>
  </si>
  <si>
    <t xml:space="preserve">money(); signedMoney(); moneyShort(); chance(); day(); shortDay(); classLabel; agentName/agentLabel; plainText()</t>
  </si>
  <si>
    <t xml:space="preserve">Used by screens, widgets.dart and logic/needs.dart</t>
  </si>
  <si>
    <t xml:space="preserve">chance() never prints 100% or 0%, so projections do not sound certain.</t>
  </si>
  <si>
    <t xml:space="preserve">frontend/mobile/test</t>
  </si>
  <si>
    <t xml:space="preserve">helpers.dart</t>
  </si>
  <si>
    <t xml:space="preserve">Test helpers: a FakeConductor built on http MockClient answering from recorded fixtures, a fake JWT and a pre-signed-in session.</t>
  </si>
  <si>
    <t xml:space="preserve">FakeConductor (calls, bodyOf, api(), signedInSession()); fakeJwt(); jsonResponse(); readFixture()</t>
  </si>
  <si>
    <t xml:space="preserve">Used by unit_test.dart and widget_test.dart; reads test/fixtures</t>
  </si>
  <si>
    <t xml:space="preserve">Dependency injection of http.Client and TokenStore lets all tests run offline in milliseconds.</t>
  </si>
  <si>
    <t xml:space="preserve">unit_test.dart</t>
  </si>
  <si>
    <t xml:space="preserve">Unit tests for formatting, SSE parsing (incl. split chunks), JWT expiry, models (incl. failed section), collectNeeds, ApiClient (401, expired token) and Session.</t>
  </si>
  <si>
    <t xml:space="preserve">groups format, SSE, jwtExpiry, models, collectNeeds, ApiClient, Session</t>
  </si>
  <si>
    <t xml:space="preserve">Imports lib/api, lib/logic, lib/state, lib/ui</t>
  </si>
  <si>
    <t xml:space="preserve">widget_test.dart</t>
  </si>
  <si>
    <t xml:space="preserve">Widget tests on a phone-sized screen: sign-in, wrong password, opening a household, and email approval blocked until placeholders are filled.</t>
  </si>
  <si>
    <t xml:space="preserve">4 testWidgets using AtriumApp(liveNews: false) and FakeConductor</t>
  </si>
  <si>
    <t xml:space="preserve">Uses test/helpers.dart</t>
  </si>
  <si>
    <t xml:space="preserve">liveNews can be switched off so the never-ending stream does not hang tests.</t>
  </si>
  <si>
    <t xml:space="preserve">Ignores Flutter build output, IDE files and Android/iOS local settings.</t>
  </si>
  <si>
    <t xml:space="preserve">Overview of the mobile app: screens, endpoints, layout, Flutter concepts shown, security choices and resume notes.</t>
  </si>
  <si>
    <t xml:space="preserve">Step-by-step setup (install Flutter, flutter create the shell, copy overrides), run in Chrome, emulator or real phone, with a manual checklist and troubleshooting.</t>
  </si>
  <si>
    <t xml:space="preserve">References android_overrides, CONDUCTOR_URL, the Conductor run script</t>
  </si>
  <si>
    <t xml:space="preserve">analysis_options.yaml</t>
  </si>
  <si>
    <t xml:space="preserve">Lint rules for flutter analyze (flutter_lints plus single quotes, final locals, no print).</t>
  </si>
  <si>
    <t xml:space="preserve">Used by flutter analyze</t>
  </si>
  <si>
    <t xml:space="preserve">frontend/mobile/android</t>
  </si>
  <si>
    <t xml:space="preserve">(folder)</t>
  </si>
  <si>
    <t xml:space="preserve">Generated Android project shell created by `flutter create` on the owner's machine; not hand-written and not in this repo. The folder frontend/mobile/android_overrides/app/src/debug is copied into it so debug builds may use http to local addresses (10.0.2.2, 127.0.0.1, localhost).</t>
  </si>
  <si>
    <t xml:space="preserve">Produced by flutter create; built with flutter run/build</t>
  </si>
  <si>
    <t xml:space="preserve">frontend/mobile/ios</t>
  </si>
  <si>
    <t xml:space="preserve">Generated iOS project shell created by `flutter create` on the owner's machine; not hand-written and not in this repo.</t>
  </si>
  <si>
    <t xml:space="preserve">news_screen.dart</t>
  </si>
  <si>
    <t xml:space="preserve">Live market news tab showing stream status and the latest events.</t>
  </si>
  <si>
    <t xml:space="preserve">NewsScreen; status switch record (label, color); reuses EventRow</t>
  </si>
  <si>
    <t xml:space="preserve">Listens to NewsController from home_shell.dart</t>
  </si>
  <si>
    <t xml:space="preserve">app_scope.dart</t>
  </si>
  <si>
    <t xml:space="preserve">InheritedWidget that makes the Session and its ApiClient available anywhere in the widget tree.</t>
  </si>
  <si>
    <t xml:space="preserve">AppScope.of(context); api getter</t>
  </si>
  <si>
    <t xml:space="preserve">Wraps MaterialApp in main.dart; used by all screens</t>
  </si>
  <si>
    <t xml:space="preserve">theme.dart</t>
  </si>
  <si>
    <t xml:space="preserve">App theme using the same palette as the web (paper, ink, ledger green, brass) and a system serif font.</t>
  </si>
  <si>
    <t xml:space="preserve">AppColors; serifStyle(); buildTheme() (Material 3)</t>
  </si>
  <si>
    <t xml:space="preserve">Used by main.dart and all screens</t>
  </si>
  <si>
    <t xml:space="preserve">widgets.dart</t>
  </si>
  <si>
    <t xml:space="preserve">Shared widgets: dossier section, note box, error note, agent-down message, severity dot, animated agent strip and loading bar.</t>
  </si>
  <si>
    <t xml:space="preserve">DossierSection; NoteBox/NoteKind; ErrorNote (shows trace ID); AgentDown; Dot; severityColor(); AgentStrip (respects reduce-motion); LoadingLines</t>
  </si>
  <si>
    <t xml:space="preserve">Used by household, households, news, ask, email and sign-in screens</t>
  </si>
  <si>
    <t xml:space="preserve">pubspec.yaml</t>
  </si>
  <si>
    <t xml:space="preserve">Flutter package manifest: dependencies http and flutter_secure_storage, dev deps flutter_test and flutter_lints.</t>
  </si>
  <si>
    <t xml:space="preserve">name atrium_mobile; sdk ^3.5.0</t>
  </si>
  <si>
    <t xml:space="preserve">Used by flutter pub get</t>
  </si>
  <si>
    <t xml:space="preserve">frontend/mobile/test/fixtures</t>
  </si>
  <si>
    <t xml:space="preserve">Recorded overview response for the fictional Patel household.</t>
  </si>
  <si>
    <t xml:space="preserve">Used by test/helpers.dart; identical to the web fixture</t>
  </si>
  <si>
    <t xml:space="preserve">Recorded actuary and herald skill outputs for Patel.</t>
  </si>
  <si>
    <t xml:space="preserve">Used by test/helpers.dart</t>
  </si>
  <si>
    <t xml:space="preserve">frontend/mobile/web</t>
  </si>
  <si>
    <t xml:space="preserve">Generated web runner (index.html, manifest) created by `flutter create` on the owner's machine; not hand-written and not in this repo.</t>
  </si>
  <si>
    <t xml:space="preserve">setup_env.ps1</t>
  </si>
  <si>
    <t xml:space="preserve">PowerShell script that creates .env from .env.example and generates JWT_SIGNING_KEY and SERVICE_TOKEN if missing or placeholders.</t>
  </si>
  <si>
    <t xml:space="preserve">New-Secret (crypto RNG, URL-safe); Test-Placeholder; sets LLM_MODEL to Haiku and MOCK_AGENTS=true; never overwrites ANTHROPIC_API_KEY</t>
  </si>
  <si>
    <t xml:space="preserve">called by agents' run.ps1; writes /home/claude/aurelius/.env</t>
  </si>
  <si>
    <t xml:space="preserve">Secrets come from a cryptographic RNG and existing real secrets are never overwritten.</t>
  </si>
  <si>
    <t xml:space="preserve">contracts</t>
  </si>
  <si>
    <t xml:space="preserve">Empty placeholder folder reserved for shared agent/API contract definitions (the folder does not currently exist on disk).</t>
  </si>
  <si>
    <t xml:space="preserve">docs</t>
  </si>
  <si>
    <t xml:space="preserve">Empty placeholder folder reserved for project documentation (the folder does not currently exist on disk).</t>
  </si>
  <si>
    <t xml:space="preserve">infra</t>
  </si>
  <si>
    <t xml:space="preserve">Empty placeholder folder reserved for infrastructure and deployment files (the folder does not currently exist on disk).</t>
  </si>
  <si>
    <t xml:space="preserve">security</t>
  </si>
  <si>
    <t xml:space="preserve">Empty placeholder folder reserved for security policies and notes (the folder does not currently exist on disk).</t>
  </si>
  <si>
    <t xml:space="preserve">tests</t>
  </si>
  <si>
    <t xml:space="preserve">Empty placeholder folder reserved for cross-component tests (the folder does not currently exist on disk).</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</si>
</sst>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8"/>
      <color rgb="FF1C2B30"/>
      <name val="Arial"/>
      <family val="0"/>
      <charset val="1"/>
    </font>
    <font>
      <sz val="11"/>
      <color rgb="FF4A5A5F"/>
      <name val="Arial"/>
      <family val="0"/>
      <charset val="1"/>
    </font>
    <font>
      <b val="true"/>
      <sz val="12"/>
      <color rgb="FF2E5E4E"/>
      <name val="Arial"/>
      <family val="0"/>
      <charset val="1"/>
    </font>
    <font>
      <sz val="10"/>
      <name val="Arial"/>
      <family val="0"/>
      <charset val="1"/>
    </font>
    <font>
      <b val="true"/>
      <sz val="10"/>
      <name val="Arial"/>
      <family val="0"/>
      <charset val="1"/>
    </font>
    <font>
      <i val="true"/>
      <sz val="9"/>
      <color rgb="FF6F7D80"/>
      <name val="Arial"/>
      <family val="0"/>
      <charset val="1"/>
    </font>
    <font>
      <b val="true"/>
      <sz val="10"/>
      <color rgb="FFFFFFFF"/>
      <name val="Arial"/>
      <family val="0"/>
      <charset val="1"/>
    </font>
  </fonts>
  <fills count="4">
    <fill>
      <patternFill patternType="none"/>
    </fill>
    <fill>
      <patternFill patternType="gray125"/>
    </fill>
    <fill>
      <patternFill patternType="solid">
        <fgColor rgb="FF1C2B30"/>
        <bgColor rgb="FF333300"/>
      </patternFill>
    </fill>
    <fill>
      <patternFill patternType="solid">
        <fgColor rgb="FFFFF4CC"/>
        <bgColor rgb="FFF6EBCF"/>
      </patternFill>
    </fill>
  </fills>
  <borders count="2">
    <border diagonalUp="false" diagonalDown="false">
      <left/>
      <right/>
      <top/>
      <bottom/>
      <diagonal/>
    </border>
    <border diagonalUp="false" diagonalDown="false">
      <left/>
      <right/>
      <top/>
      <bottom style="thin">
        <color rgb="FFD7DD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C2B30"/>
          <bgColor rgb="FF000000"/>
        </patternFill>
      </fill>
    </dxf>
    <dxf>
      <fill>
        <patternFill patternType="solid">
          <bgColor rgb="FF000000"/>
        </patternFill>
      </fill>
    </dxf>
    <dxf>
      <fill>
        <patternFill patternType="solid">
          <fgColor rgb="FFFFFFFF"/>
          <bgColor rgb="FF000000"/>
        </patternFill>
      </fill>
    </dxf>
    <dxf>
      <fill>
        <patternFill patternType="solid">
          <fgColor rgb="FFF4D9D3"/>
          <bgColor rgb="FF000000"/>
        </patternFill>
      </fill>
    </dxf>
    <dxf>
      <fill>
        <patternFill patternType="solid">
          <fgColor rgb="FFF6EBCF"/>
          <bgColor rgb="FF000000"/>
        </patternFill>
      </fill>
    </dxf>
    <dxf>
      <fill>
        <patternFill patternType="solid">
          <fgColor rgb="FFFFF4CC"/>
          <bgColor rgb="FF000000"/>
        </patternFill>
      </fill>
    </dxf>
    <dxf>
      <fill>
        <patternFill>
          <bgColor rgb="FFF4D9D3"/>
        </patternFill>
      </fill>
    </dxf>
    <dxf>
      <fill>
        <patternFill>
          <bgColor rgb="FFF6EBCF"/>
        </patternFill>
      </fill>
    </dxf>
    <dxf>
      <fill>
        <patternFill>
          <bgColor rgb="FFE3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8823A"/>
      <rgbColor rgb="FF800080"/>
      <rgbColor rgb="FF2E5E4E"/>
      <rgbColor rgb="FFC0C0C0"/>
      <rgbColor rgb="FF6F7D80"/>
      <rgbColor rgb="FF9999FF"/>
      <rgbColor rgb="FF993366"/>
      <rgbColor rgb="FFFFF4CC"/>
      <rgbColor rgb="FFE3ECE7"/>
      <rgbColor rgb="FF660066"/>
      <rgbColor rgb="FFFF8080"/>
      <rgbColor rgb="FF0066CC"/>
      <rgbColor rgb="FFD7DDD9"/>
      <rgbColor rgb="FF000080"/>
      <rgbColor rgb="FFFF00FF"/>
      <rgbColor rgb="FFFFFF00"/>
      <rgbColor rgb="FF00FFFF"/>
      <rgbColor rgb="FF800080"/>
      <rgbColor rgb="FF800000"/>
      <rgbColor rgb="FF008080"/>
      <rgbColor rgb="FF0000FF"/>
      <rgbColor rgb="FF00CCFF"/>
      <rgbColor rgb="FFCCFFFF"/>
      <rgbColor rgb="FFCCFFCC"/>
      <rgbColor rgb="FFF6EBCF"/>
      <rgbColor rgb="FF99CCFF"/>
      <rgbColor rgb="FFFF99CC"/>
      <rgbColor rgb="FFCC99FF"/>
      <rgbColor rgb="FFF4D9D3"/>
      <rgbColor rgb="FF3366FF"/>
      <rgbColor rgb="FF33CCCC"/>
      <rgbColor rgb="FF99CC00"/>
      <rgbColor rgb="FFFFCC00"/>
      <rgbColor rgb="FFFF9900"/>
      <rgbColor rgb="FFFF6600"/>
      <rgbColor rgb="FF4A5A5F"/>
      <rgbColor rgb="FF969696"/>
      <rgbColor rgb="FF003366"/>
      <rgbColor rgb="FF339966"/>
      <rgbColor rgb="FF003300"/>
      <rgbColor rgb="FF333300"/>
      <rgbColor rgb="FF993300"/>
      <rgbColor rgb="FF993366"/>
      <rgbColor rgb="FF333399"/>
      <rgbColor rgb="FF1C2B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4E"/>
    <pageSetUpPr fitToPage="false"/>
  </sheetPr>
  <dimension ref="B2: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5"/>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t="n">
        <f aca="false">COUNTA(Files!$D$2:$D$424)</f>
        <v>423</v>
      </c>
    </row>
    <row r="7" customFormat="false" ht="15" hidden="false" customHeight="false" outlineLevel="0" collapsed="false">
      <c r="B7" s="4" t="s">
        <v>4</v>
      </c>
      <c r="C7" s="5" t="n">
        <f aca="false">COUNTIF(Files!$F$2:$F$424,1)</f>
        <v>117</v>
      </c>
    </row>
    <row r="8" customFormat="false" ht="15" hidden="false" customHeight="false" outlineLevel="0" collapsed="false">
      <c r="B8" s="4" t="s">
        <v>5</v>
      </c>
      <c r="C8" s="5" t="n">
        <f aca="false">COUNTIF(Files!$K$2:$K$424,"Yes")</f>
        <v>0</v>
      </c>
    </row>
    <row r="9" customFormat="false" ht="15" hidden="false" customHeight="false" outlineLevel="0" collapsed="false">
      <c r="B9" s="4" t="s">
        <v>6</v>
      </c>
      <c r="C9" s="5" t="n">
        <f aca="false">COUNTIFS(Files!$F$2:$F$424,1,Files!$K$2:$K$424,"Yes")</f>
        <v>0</v>
      </c>
    </row>
    <row r="10" customFormat="false" ht="15" hidden="false" customHeight="false" outlineLevel="0" collapsed="false">
      <c r="B10" s="4" t="s">
        <v>7</v>
      </c>
      <c r="C10" s="6" t="n">
        <f aca="false">IF(C7=0,0,C9/C7)</f>
        <v>0</v>
      </c>
    </row>
    <row r="12" customFormat="false" ht="15" hidden="false" customHeight="false" outlineLevel="0" collapsed="false">
      <c r="B12" s="3" t="s">
        <v>8</v>
      </c>
    </row>
    <row r="13" customFormat="false" ht="15" hidden="false" customHeight="false" outlineLevel="0" collapsed="false">
      <c r="B13" s="7" t="s">
        <v>9</v>
      </c>
      <c r="C13" s="8" t="s">
        <v>10</v>
      </c>
    </row>
    <row r="14" customFormat="false" ht="15" hidden="false" customHeight="false" outlineLevel="0" collapsed="false">
      <c r="B14" s="7" t="s">
        <v>11</v>
      </c>
      <c r="C14" s="8" t="s">
        <v>12</v>
      </c>
    </row>
    <row r="15" customFormat="false" ht="23.85" hidden="false" customHeight="false" outlineLevel="0" collapsed="false">
      <c r="B15" s="7" t="s">
        <v>13</v>
      </c>
      <c r="C15" s="8" t="s">
        <v>14</v>
      </c>
    </row>
    <row r="16" customFormat="false" ht="15" hidden="false" customHeight="false" outlineLevel="0" collapsed="false">
      <c r="B16" s="7" t="s">
        <v>15</v>
      </c>
      <c r="C16" s="8" t="s">
        <v>16</v>
      </c>
    </row>
    <row r="17" customFormat="false" ht="15" hidden="false" customHeight="false" outlineLevel="0" collapsed="false">
      <c r="B17" s="7" t="s">
        <v>17</v>
      </c>
      <c r="C17" s="8" t="s">
        <v>18</v>
      </c>
    </row>
    <row r="18" customFormat="false" ht="15" hidden="false" customHeight="false" outlineLevel="0" collapsed="false">
      <c r="B18" s="7" t="s">
        <v>19</v>
      </c>
      <c r="C18" s="8" t="s">
        <v>20</v>
      </c>
    </row>
    <row r="20" customFormat="false" ht="15" hidden="false" customHeight="false" outlineLevel="0" collapsed="false">
      <c r="B20" s="3" t="s">
        <v>21</v>
      </c>
    </row>
    <row r="21" customFormat="false" ht="15" hidden="false" customHeight="false" outlineLevel="0" collapsed="false">
      <c r="B21" s="7" t="s">
        <v>22</v>
      </c>
      <c r="C21" s="8" t="s">
        <v>23</v>
      </c>
    </row>
    <row r="22" customFormat="false" ht="15" hidden="false" customHeight="false" outlineLevel="0" collapsed="false">
      <c r="B22" s="7" t="s">
        <v>24</v>
      </c>
      <c r="C22" s="8" t="s">
        <v>25</v>
      </c>
    </row>
    <row r="23" customFormat="false" ht="15" hidden="false" customHeight="false" outlineLevel="0" collapsed="false">
      <c r="B23" s="7" t="s">
        <v>26</v>
      </c>
      <c r="C23" s="8" t="s">
        <v>27</v>
      </c>
    </row>
    <row r="24" customFormat="false" ht="23.85" hidden="false" customHeight="false" outlineLevel="0" collapsed="false">
      <c r="B24" s="7" t="s">
        <v>28</v>
      </c>
      <c r="C24" s="8" t="s">
        <v>29</v>
      </c>
    </row>
    <row r="25" customFormat="false" ht="15" hidden="false" customHeight="false" outlineLevel="0" collapsed="false">
      <c r="B25" s="7" t="s">
        <v>30</v>
      </c>
      <c r="C25" s="8" t="s">
        <v>31</v>
      </c>
    </row>
    <row r="26" customFormat="false" ht="15" hidden="false" customHeight="false" outlineLevel="0" collapsed="false">
      <c r="B26" s="7" t="s">
        <v>32</v>
      </c>
      <c r="C26" s="8" t="s">
        <v>33</v>
      </c>
    </row>
    <row r="27" customFormat="false" ht="23.85" hidden="false" customHeight="false" outlineLevel="0" collapsed="false">
      <c r="B27" s="7" t="s">
        <v>34</v>
      </c>
      <c r="C27" s="8" t="s">
        <v>35</v>
      </c>
    </row>
    <row r="28" customFormat="false" ht="15" hidden="false" customHeight="false" outlineLevel="0" collapsed="false">
      <c r="B28" s="7" t="s">
        <v>36</v>
      </c>
      <c r="C28" s="8" t="s">
        <v>37</v>
      </c>
    </row>
    <row r="30" customFormat="false" ht="27.75" hidden="false" customHeight="true" outlineLevel="0" collapsed="false">
      <c r="B30" s="9" t="s">
        <v>38</v>
      </c>
      <c r="C30" s="9"/>
    </row>
  </sheetData>
  <mergeCells count="1">
    <mergeCell ref="B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23A"/>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2"/>
    <col collapsed="false" customWidth="true" hidden="false" outlineLevel="0" max="4" min="4" style="0" width="7"/>
    <col collapsed="false" customWidth="true" hidden="false" outlineLevel="0" max="5" min="5" style="0" width="30"/>
    <col collapsed="false" customWidth="true" hidden="false" outlineLevel="0" max="6" min="6" style="0" width="60"/>
    <col collapsed="false" customWidth="true" hidden="false" outlineLevel="0" max="8" min="7" style="0" width="40"/>
    <col collapsed="false" customWidth="true" hidden="false" outlineLevel="0" max="9" min="9" style="0" width="8"/>
    <col collapsed="false" customWidth="true" hidden="false" outlineLevel="0" max="11" min="10" style="0" width="10"/>
  </cols>
  <sheetData>
    <row r="1" customFormat="false" ht="30" hidden="false" customHeight="true" outlineLevel="0" collapsed="false">
      <c r="A1" s="10" t="s">
        <v>39</v>
      </c>
      <c r="B1" s="10" t="s">
        <v>40</v>
      </c>
      <c r="C1" s="10" t="s">
        <v>41</v>
      </c>
      <c r="D1" s="10" t="s">
        <v>42</v>
      </c>
      <c r="E1" s="10" t="s">
        <v>43</v>
      </c>
      <c r="F1" s="10" t="s">
        <v>44</v>
      </c>
      <c r="G1" s="10" t="s">
        <v>45</v>
      </c>
      <c r="H1" s="10" t="s">
        <v>46</v>
      </c>
      <c r="I1" s="10" t="s">
        <v>13</v>
      </c>
      <c r="J1" s="10" t="s">
        <v>47</v>
      </c>
      <c r="K1" s="10" t="s">
        <v>48</v>
      </c>
    </row>
    <row r="2" customFormat="false" ht="46.25" hidden="false" customHeight="false" outlineLevel="0" collapsed="false">
      <c r="A2" s="11" t="s">
        <v>49</v>
      </c>
      <c r="B2" s="12" t="s">
        <v>50</v>
      </c>
      <c r="C2" s="12" t="s">
        <v>51</v>
      </c>
      <c r="D2" s="12" t="s">
        <v>52</v>
      </c>
      <c r="E2" s="12" t="s">
        <v>53</v>
      </c>
      <c r="F2" s="12" t="s">
        <v>54</v>
      </c>
      <c r="G2" s="12" t="s">
        <v>55</v>
      </c>
      <c r="H2" s="12" t="s">
        <v>56</v>
      </c>
      <c r="I2" s="13" t="n">
        <f aca="false">COUNTIF(Files!$B$2:$B$424,A2)</f>
        <v>35</v>
      </c>
      <c r="J2" s="13" t="n">
        <f aca="false">COUNTIFS(Files!$B$2:$B$424,A2,Files!$F$2:$F$424,1)</f>
        <v>13</v>
      </c>
      <c r="K2" s="13" t="n">
        <f aca="false">COUNTIFS(Files!$B$2:$B$424,A2,Files!$K$2:$K$424,"Yes")</f>
        <v>0</v>
      </c>
    </row>
    <row r="3" customFormat="false" ht="35.05" hidden="false" customHeight="false" outlineLevel="0" collapsed="false">
      <c r="A3" s="11" t="s">
        <v>57</v>
      </c>
      <c r="B3" s="12" t="s">
        <v>50</v>
      </c>
      <c r="C3" s="12" t="s">
        <v>58</v>
      </c>
      <c r="D3" s="12" t="s">
        <v>59</v>
      </c>
      <c r="E3" s="12" t="s">
        <v>60</v>
      </c>
      <c r="F3" s="12" t="s">
        <v>61</v>
      </c>
      <c r="G3" s="12" t="s">
        <v>62</v>
      </c>
      <c r="H3" s="12" t="s">
        <v>63</v>
      </c>
      <c r="I3" s="13" t="n">
        <f aca="false">COUNTIF(Files!$B$2:$B$424,A3)</f>
        <v>30</v>
      </c>
      <c r="J3" s="13" t="n">
        <f aca="false">COUNTIFS(Files!$B$2:$B$424,A3,Files!$F$2:$F$424,1)</f>
        <v>9</v>
      </c>
      <c r="K3" s="13" t="n">
        <f aca="false">COUNTIFS(Files!$B$2:$B$424,A3,Files!$K$2:$K$424,"Yes")</f>
        <v>0</v>
      </c>
    </row>
    <row r="4" customFormat="false" ht="35.05" hidden="false" customHeight="false" outlineLevel="0" collapsed="false">
      <c r="A4" s="11" t="s">
        <v>64</v>
      </c>
      <c r="B4" s="12" t="s">
        <v>50</v>
      </c>
      <c r="C4" s="12" t="s">
        <v>65</v>
      </c>
      <c r="D4" s="12" t="s">
        <v>66</v>
      </c>
      <c r="E4" s="12" t="s">
        <v>67</v>
      </c>
      <c r="F4" s="12" t="s">
        <v>68</v>
      </c>
      <c r="G4" s="12" t="s">
        <v>69</v>
      </c>
      <c r="H4" s="12" t="s">
        <v>70</v>
      </c>
      <c r="I4" s="13" t="n">
        <f aca="false">COUNTIF(Files!$B$2:$B$424,A4)</f>
        <v>29</v>
      </c>
      <c r="J4" s="13" t="n">
        <f aca="false">COUNTIFS(Files!$B$2:$B$424,A4,Files!$F$2:$F$424,1)</f>
        <v>6</v>
      </c>
      <c r="K4" s="13" t="n">
        <f aca="false">COUNTIFS(Files!$B$2:$B$424,A4,Files!$K$2:$K$424,"Yes")</f>
        <v>0</v>
      </c>
    </row>
    <row r="5" customFormat="false" ht="35.05" hidden="false" customHeight="false" outlineLevel="0" collapsed="false">
      <c r="A5" s="11" t="s">
        <v>71</v>
      </c>
      <c r="B5" s="12" t="s">
        <v>50</v>
      </c>
      <c r="C5" s="12" t="s">
        <v>72</v>
      </c>
      <c r="D5" s="12" t="s">
        <v>73</v>
      </c>
      <c r="E5" s="12" t="s">
        <v>74</v>
      </c>
      <c r="F5" s="12" t="s">
        <v>75</v>
      </c>
      <c r="G5" s="12" t="s">
        <v>76</v>
      </c>
      <c r="H5" s="12" t="s">
        <v>77</v>
      </c>
      <c r="I5" s="13" t="n">
        <f aca="false">COUNTIF(Files!$B$2:$B$424,A5)</f>
        <v>30</v>
      </c>
      <c r="J5" s="13" t="n">
        <f aca="false">COUNTIFS(Files!$B$2:$B$424,A5,Files!$F$2:$F$424,1)</f>
        <v>5</v>
      </c>
      <c r="K5" s="13" t="n">
        <f aca="false">COUNTIFS(Files!$B$2:$B$424,A5,Files!$K$2:$K$424,"Yes")</f>
        <v>0</v>
      </c>
    </row>
    <row r="6" customFormat="false" ht="35.05" hidden="false" customHeight="false" outlineLevel="0" collapsed="false">
      <c r="A6" s="11" t="s">
        <v>78</v>
      </c>
      <c r="B6" s="12" t="s">
        <v>50</v>
      </c>
      <c r="C6" s="12" t="s">
        <v>72</v>
      </c>
      <c r="D6" s="12" t="s">
        <v>79</v>
      </c>
      <c r="E6" s="12" t="s">
        <v>80</v>
      </c>
      <c r="F6" s="12" t="s">
        <v>81</v>
      </c>
      <c r="G6" s="12" t="s">
        <v>82</v>
      </c>
      <c r="H6" s="12" t="s">
        <v>83</v>
      </c>
      <c r="I6" s="13" t="n">
        <f aca="false">COUNTIF(Files!$B$2:$B$424,A6)</f>
        <v>29</v>
      </c>
      <c r="J6" s="13" t="n">
        <f aca="false">COUNTIFS(Files!$B$2:$B$424,A6,Files!$F$2:$F$424,1)</f>
        <v>9</v>
      </c>
      <c r="K6" s="13" t="n">
        <f aca="false">COUNTIFS(Files!$B$2:$B$424,A6,Files!$K$2:$K$424,"Yes")</f>
        <v>0</v>
      </c>
    </row>
    <row r="7" customFormat="false" ht="35.05" hidden="false" customHeight="false" outlineLevel="0" collapsed="false">
      <c r="A7" s="11" t="s">
        <v>84</v>
      </c>
      <c r="B7" s="12" t="s">
        <v>85</v>
      </c>
      <c r="C7" s="12" t="s">
        <v>86</v>
      </c>
      <c r="D7" s="12" t="s">
        <v>87</v>
      </c>
      <c r="E7" s="12" t="s">
        <v>88</v>
      </c>
      <c r="F7" s="12" t="s">
        <v>89</v>
      </c>
      <c r="G7" s="12" t="s">
        <v>90</v>
      </c>
      <c r="H7" s="12" t="s">
        <v>91</v>
      </c>
      <c r="I7" s="13" t="n">
        <f aca="false">COUNTIF(Files!$B$2:$B$424,A7)</f>
        <v>28</v>
      </c>
      <c r="J7" s="13" t="n">
        <f aca="false">COUNTIFS(Files!$B$2:$B$424,A7,Files!$F$2:$F$424,1)</f>
        <v>10</v>
      </c>
      <c r="K7" s="13" t="n">
        <f aca="false">COUNTIFS(Files!$B$2:$B$424,A7,Files!$K$2:$K$424,"Yes")</f>
        <v>0</v>
      </c>
    </row>
    <row r="8" customFormat="false" ht="23.85" hidden="false" customHeight="false" outlineLevel="0" collapsed="false">
      <c r="A8" s="11" t="s">
        <v>92</v>
      </c>
      <c r="B8" s="12" t="s">
        <v>85</v>
      </c>
      <c r="C8" s="12" t="s">
        <v>86</v>
      </c>
      <c r="D8" s="12" t="s">
        <v>93</v>
      </c>
      <c r="E8" s="12" t="s">
        <v>94</v>
      </c>
      <c r="F8" s="12" t="s">
        <v>95</v>
      </c>
      <c r="G8" s="12" t="s">
        <v>96</v>
      </c>
      <c r="H8" s="12" t="s">
        <v>97</v>
      </c>
      <c r="I8" s="13" t="n">
        <f aca="false">COUNTIF(Files!$B$2:$B$424,A8)</f>
        <v>27</v>
      </c>
      <c r="J8" s="13" t="n">
        <f aca="false">COUNTIFS(Files!$B$2:$B$424,A8,Files!$F$2:$F$424,1)</f>
        <v>8</v>
      </c>
      <c r="K8" s="13" t="n">
        <f aca="false">COUNTIFS(Files!$B$2:$B$424,A8,Files!$K$2:$K$424,"Yes")</f>
        <v>0</v>
      </c>
    </row>
    <row r="9" customFormat="false" ht="35.05" hidden="false" customHeight="false" outlineLevel="0" collapsed="false">
      <c r="A9" s="11" t="s">
        <v>98</v>
      </c>
      <c r="B9" s="12" t="s">
        <v>99</v>
      </c>
      <c r="C9" s="12" t="s">
        <v>100</v>
      </c>
      <c r="D9" s="12" t="s">
        <v>101</v>
      </c>
      <c r="E9" s="12" t="s">
        <v>102</v>
      </c>
      <c r="F9" s="12" t="s">
        <v>103</v>
      </c>
      <c r="G9" s="12" t="s">
        <v>104</v>
      </c>
      <c r="H9" s="12" t="s">
        <v>105</v>
      </c>
      <c r="I9" s="13" t="n">
        <f aca="false">COUNTIF(Files!$B$2:$B$424,A9)</f>
        <v>42</v>
      </c>
      <c r="J9" s="13" t="n">
        <f aca="false">COUNTIFS(Files!$B$2:$B$424,A9,Files!$F$2:$F$424,1)</f>
        <v>12</v>
      </c>
      <c r="K9" s="13" t="n">
        <f aca="false">COUNTIFS(Files!$B$2:$B$424,A9,Files!$K$2:$K$424,"Yes")</f>
        <v>0</v>
      </c>
    </row>
    <row r="10" customFormat="false" ht="23.85" hidden="false" customHeight="false" outlineLevel="0" collapsed="false">
      <c r="A10" s="11" t="s">
        <v>106</v>
      </c>
      <c r="B10" s="12" t="s">
        <v>99</v>
      </c>
      <c r="C10" s="12" t="s">
        <v>100</v>
      </c>
      <c r="D10" s="12" t="s">
        <v>107</v>
      </c>
      <c r="E10" s="12" t="s">
        <v>108</v>
      </c>
      <c r="F10" s="12" t="s">
        <v>109</v>
      </c>
      <c r="G10" s="12" t="s">
        <v>110</v>
      </c>
      <c r="H10" s="12" t="s">
        <v>111</v>
      </c>
      <c r="I10" s="13" t="n">
        <f aca="false">COUNTIF(Files!$B$2:$B$424,A10)</f>
        <v>45</v>
      </c>
      <c r="J10" s="13" t="n">
        <f aca="false">COUNTIFS(Files!$B$2:$B$424,A10,Files!$F$2:$F$424,1)</f>
        <v>12</v>
      </c>
      <c r="K10" s="13" t="n">
        <f aca="false">COUNTIFS(Files!$B$2:$B$424,A10,Files!$K$2:$K$424,"Yes")</f>
        <v>0</v>
      </c>
    </row>
    <row r="11" customFormat="false" ht="35.05" hidden="false" customHeight="false" outlineLevel="0" collapsed="false">
      <c r="A11" s="11" t="s">
        <v>112</v>
      </c>
      <c r="B11" s="12" t="s">
        <v>113</v>
      </c>
      <c r="C11" s="12" t="s">
        <v>114</v>
      </c>
      <c r="D11" s="12" t="s">
        <v>115</v>
      </c>
      <c r="E11" s="12" t="s">
        <v>116</v>
      </c>
      <c r="F11" s="12" t="s">
        <v>117</v>
      </c>
      <c r="G11" s="12" t="s">
        <v>118</v>
      </c>
      <c r="H11" s="12" t="s">
        <v>119</v>
      </c>
      <c r="I11" s="13" t="n">
        <f aca="false">COUNTIF(Files!$B$2:$B$424,A11)</f>
        <v>31</v>
      </c>
      <c r="J11" s="13" t="n">
        <f aca="false">COUNTIFS(Files!$B$2:$B$424,A11,Files!$F$2:$F$424,1)</f>
        <v>11</v>
      </c>
      <c r="K11" s="13" t="n">
        <f aca="false">COUNTIFS(Files!$B$2:$B$424,A11,Files!$K$2:$K$424,"Yes")</f>
        <v>0</v>
      </c>
    </row>
    <row r="12" customFormat="false" ht="23.85" hidden="false" customHeight="false" outlineLevel="0" collapsed="false">
      <c r="A12" s="11" t="s">
        <v>120</v>
      </c>
      <c r="B12" s="12" t="s">
        <v>50</v>
      </c>
      <c r="C12" s="12" t="s">
        <v>121</v>
      </c>
      <c r="D12" s="12" t="s">
        <v>122</v>
      </c>
      <c r="E12" s="12" t="s">
        <v>123</v>
      </c>
      <c r="F12" s="12" t="s">
        <v>124</v>
      </c>
      <c r="G12" s="12" t="s">
        <v>125</v>
      </c>
      <c r="H12" s="12" t="s">
        <v>126</v>
      </c>
      <c r="I12" s="13" t="n">
        <f aca="false">COUNTIF(Files!$B$2:$B$424,A12)</f>
        <v>14</v>
      </c>
      <c r="J12" s="13" t="n">
        <f aca="false">COUNTIFS(Files!$B$2:$B$424,A12,Files!$F$2:$F$424,1)</f>
        <v>4</v>
      </c>
      <c r="K12" s="13" t="n">
        <f aca="false">COUNTIFS(Files!$B$2:$B$424,A12,Files!$K$2:$K$424,"Yes")</f>
        <v>0</v>
      </c>
    </row>
    <row r="13" customFormat="false" ht="23.85" hidden="false" customHeight="false" outlineLevel="0" collapsed="false">
      <c r="A13" s="11" t="s">
        <v>127</v>
      </c>
      <c r="B13" s="12" t="s">
        <v>128</v>
      </c>
      <c r="C13" s="12"/>
      <c r="D13" s="12"/>
      <c r="E13" s="12" t="s">
        <v>129</v>
      </c>
      <c r="F13" s="12" t="s">
        <v>130</v>
      </c>
      <c r="G13" s="12"/>
      <c r="H13" s="12" t="s">
        <v>131</v>
      </c>
      <c r="I13" s="13" t="n">
        <f aca="false">COUNTIF(Files!$B$2:$B$424,A13)</f>
        <v>8</v>
      </c>
      <c r="J13" s="13" t="n">
        <f aca="false">COUNTIFS(Files!$B$2:$B$424,A13,Files!$F$2:$F$424,1)</f>
        <v>0</v>
      </c>
      <c r="K13" s="13" t="n">
        <f aca="false">COUNTIFS(Files!$B$2:$B$424,A13,Files!$K$2:$K$424,"Yes")</f>
        <v>0</v>
      </c>
    </row>
    <row r="14" customFormat="false" ht="35.05" hidden="false" customHeight="false" outlineLevel="0" collapsed="false">
      <c r="A14" s="11" t="s">
        <v>132</v>
      </c>
      <c r="B14" s="12" t="s">
        <v>85</v>
      </c>
      <c r="C14" s="12" t="s">
        <v>133</v>
      </c>
      <c r="D14" s="12" t="s">
        <v>134</v>
      </c>
      <c r="E14" s="12" t="s">
        <v>135</v>
      </c>
      <c r="F14" s="12" t="s">
        <v>136</v>
      </c>
      <c r="G14" s="12" t="s">
        <v>137</v>
      </c>
      <c r="H14" s="12" t="s">
        <v>138</v>
      </c>
      <c r="I14" s="13" t="n">
        <f aca="false">COUNTIF(Files!$B$2:$B$424,A14)</f>
        <v>35</v>
      </c>
      <c r="J14" s="13" t="n">
        <f aca="false">COUNTIFS(Files!$B$2:$B$424,A14,Files!$F$2:$F$424,1)</f>
        <v>12</v>
      </c>
      <c r="K14" s="13" t="n">
        <f aca="false">COUNTIFS(Files!$B$2:$B$424,A14,Files!$K$2:$K$424,"Yes")</f>
        <v>0</v>
      </c>
    </row>
    <row r="15" customFormat="false" ht="23.85" hidden="false" customHeight="false" outlineLevel="0" collapsed="false">
      <c r="A15" s="11" t="s">
        <v>139</v>
      </c>
      <c r="B15" s="12" t="s">
        <v>140</v>
      </c>
      <c r="C15" s="12" t="s">
        <v>141</v>
      </c>
      <c r="D15" s="12"/>
      <c r="E15" s="12" t="s">
        <v>142</v>
      </c>
      <c r="F15" s="12" t="s">
        <v>143</v>
      </c>
      <c r="G15" s="12" t="s">
        <v>137</v>
      </c>
      <c r="H15" s="12" t="s">
        <v>144</v>
      </c>
      <c r="I15" s="13" t="n">
        <f aca="false">COUNTIF(Files!$B$2:$B$424,A15)</f>
        <v>34</v>
      </c>
      <c r="J15" s="13" t="n">
        <f aca="false">COUNTIFS(Files!$B$2:$B$424,A15,Files!$F$2:$F$424,1)</f>
        <v>6</v>
      </c>
      <c r="K15" s="13" t="n">
        <f aca="false">COUNTIFS(Files!$B$2:$B$424,A15,Files!$K$2:$K$424,"Yes")</f>
        <v>0</v>
      </c>
    </row>
    <row r="16" customFormat="false" ht="23.85" hidden="false" customHeight="false" outlineLevel="0" collapsed="false">
      <c r="A16" s="11" t="s">
        <v>145</v>
      </c>
      <c r="B16" s="12" t="s">
        <v>146</v>
      </c>
      <c r="C16" s="12"/>
      <c r="D16" s="12"/>
      <c r="E16" s="12" t="s">
        <v>147</v>
      </c>
      <c r="F16" s="12" t="s">
        <v>148</v>
      </c>
      <c r="G16" s="12"/>
      <c r="H16" s="12"/>
      <c r="I16" s="13" t="n">
        <f aca="false">COUNTIF(Files!$B$2:$B$424,A16)</f>
        <v>1</v>
      </c>
      <c r="J16" s="13" t="n">
        <f aca="false">COUNTIFS(Files!$B$2:$B$424,A16,Files!$F$2:$F$424,1)</f>
        <v>0</v>
      </c>
      <c r="K16" s="13" t="n">
        <f aca="false">COUNTIFS(Files!$B$2:$B$424,A16,Files!$K$2:$K$424,"Yes")</f>
        <v>0</v>
      </c>
    </row>
    <row r="17" customFormat="false" ht="23.85" hidden="false" customHeight="false" outlineLevel="0" collapsed="false">
      <c r="A17" s="11" t="s">
        <v>149</v>
      </c>
      <c r="B17" s="12"/>
      <c r="C17" s="12"/>
      <c r="D17" s="12"/>
      <c r="E17" s="12" t="s">
        <v>150</v>
      </c>
      <c r="F17" s="12" t="s">
        <v>151</v>
      </c>
      <c r="G17" s="12"/>
      <c r="H17" s="12"/>
      <c r="I17" s="13" t="n">
        <f aca="false">COUNTIF(Files!$B$2:$B$424,A17)</f>
        <v>5</v>
      </c>
      <c r="J17" s="13" t="n">
        <f aca="false">COUNTIFS(Files!$B$2:$B$424,A17,Files!$F$2:$F$424,1)</f>
        <v>0</v>
      </c>
      <c r="K17" s="13" t="n">
        <f aca="false">COUNTIFS(Files!$B$2:$B$424,A17,Files!$K$2:$K$424,"Yes")</f>
        <v>0</v>
      </c>
    </row>
    <row r="18" customFormat="false" ht="15" hidden="false" customHeight="false" outlineLevel="0" collapsed="false">
      <c r="A18" s="7" t="s">
        <v>152</v>
      </c>
      <c r="I18" s="14" t="n">
        <f aca="false">SUM(I2:I17)</f>
        <v>423</v>
      </c>
      <c r="J18" s="14" t="n">
        <f aca="false">SUM(J2:J17)</f>
        <v>117</v>
      </c>
      <c r="K18" s="14" t="n">
        <f aca="false">SUM(K2:K17)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23A"/>
    <pageSetUpPr fitToPage="false"/>
  </sheetPr>
  <dimension ref="A1:D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4"/>
    <col collapsed="false" customWidth="true" hidden="false" outlineLevel="0" max="4" min="4" style="0" width="80"/>
  </cols>
  <sheetData>
    <row r="1" customFormat="false" ht="22.05" hidden="false" customHeight="false" outlineLevel="0" collapsed="false">
      <c r="A1" s="1" t="s">
        <v>153</v>
      </c>
    </row>
    <row r="2" customFormat="false" ht="15" hidden="false" customHeight="false" outlineLevel="0" collapsed="false">
      <c r="A2" s="2" t="s">
        <v>154</v>
      </c>
    </row>
    <row r="4" customFormat="false" ht="15" hidden="false" customHeight="false" outlineLevel="0" collapsed="false">
      <c r="A4" s="3" t="s">
        <v>155</v>
      </c>
    </row>
    <row r="5" customFormat="false" ht="15" hidden="false" customHeight="false" outlineLevel="0" collapsed="false">
      <c r="A5" s="15" t="s">
        <v>156</v>
      </c>
      <c r="B5" s="15" t="s">
        <v>157</v>
      </c>
      <c r="C5" s="15" t="s">
        <v>39</v>
      </c>
      <c r="D5" s="15" t="s">
        <v>158</v>
      </c>
    </row>
    <row r="6" customFormat="false" ht="15" hidden="false" customHeight="false" outlineLevel="0" collapsed="false">
      <c r="A6" s="12" t="n">
        <v>1</v>
      </c>
      <c r="B6" s="12" t="s">
        <v>159</v>
      </c>
      <c r="C6" s="12" t="s">
        <v>132</v>
      </c>
      <c r="D6" s="12" t="s">
        <v>160</v>
      </c>
    </row>
    <row r="7" customFormat="false" ht="15" hidden="false" customHeight="false" outlineLevel="0" collapsed="false">
      <c r="A7" s="12" t="n">
        <v>2</v>
      </c>
      <c r="B7" s="12" t="s">
        <v>161</v>
      </c>
      <c r="C7" s="12" t="s">
        <v>132</v>
      </c>
      <c r="D7" s="12" t="s">
        <v>162</v>
      </c>
    </row>
    <row r="8" customFormat="false" ht="15" hidden="false" customHeight="false" outlineLevel="0" collapsed="false">
      <c r="A8" s="12" t="n">
        <v>3</v>
      </c>
      <c r="B8" s="12" t="s">
        <v>163</v>
      </c>
      <c r="C8" s="12" t="s">
        <v>132</v>
      </c>
      <c r="D8" s="12" t="s">
        <v>164</v>
      </c>
    </row>
    <row r="9" customFormat="false" ht="23.85" hidden="false" customHeight="false" outlineLevel="0" collapsed="false">
      <c r="A9" s="12" t="n">
        <v>4</v>
      </c>
      <c r="B9" s="12" t="s">
        <v>165</v>
      </c>
      <c r="C9" s="12" t="s">
        <v>49</v>
      </c>
      <c r="D9" s="12" t="s">
        <v>166</v>
      </c>
    </row>
    <row r="10" customFormat="false" ht="15" hidden="false" customHeight="false" outlineLevel="0" collapsed="false">
      <c r="A10" s="12" t="n">
        <v>5</v>
      </c>
      <c r="B10" s="12" t="s">
        <v>167</v>
      </c>
      <c r="C10" s="12" t="s">
        <v>49</v>
      </c>
      <c r="D10" s="12" t="s">
        <v>168</v>
      </c>
    </row>
    <row r="11" customFormat="false" ht="15" hidden="false" customHeight="false" outlineLevel="0" collapsed="false">
      <c r="A11" s="12" t="n">
        <v>6</v>
      </c>
      <c r="B11" s="12" t="s">
        <v>169</v>
      </c>
      <c r="C11" s="12" t="s">
        <v>132</v>
      </c>
      <c r="D11" s="12" t="s">
        <v>162</v>
      </c>
    </row>
    <row r="13" customFormat="false" ht="15" hidden="false" customHeight="false" outlineLevel="0" collapsed="false">
      <c r="A13" s="3" t="s">
        <v>170</v>
      </c>
    </row>
    <row r="14" customFormat="false" ht="15" hidden="false" customHeight="false" outlineLevel="0" collapsed="false">
      <c r="A14" s="15" t="s">
        <v>156</v>
      </c>
      <c r="B14" s="15" t="s">
        <v>157</v>
      </c>
      <c r="C14" s="15" t="s">
        <v>39</v>
      </c>
      <c r="D14" s="15" t="s">
        <v>158</v>
      </c>
    </row>
    <row r="15" customFormat="false" ht="15" hidden="false" customHeight="false" outlineLevel="0" collapsed="false">
      <c r="A15" s="12" t="n">
        <v>1</v>
      </c>
      <c r="B15" s="12" t="s">
        <v>171</v>
      </c>
      <c r="C15" s="12" t="s">
        <v>132</v>
      </c>
      <c r="D15" s="12" t="s">
        <v>172</v>
      </c>
    </row>
    <row r="16" customFormat="false" ht="15" hidden="false" customHeight="false" outlineLevel="0" collapsed="false">
      <c r="A16" s="12" t="n">
        <v>2</v>
      </c>
      <c r="B16" s="12" t="s">
        <v>173</v>
      </c>
      <c r="C16" s="12" t="s">
        <v>132</v>
      </c>
      <c r="D16" s="12" t="s">
        <v>174</v>
      </c>
    </row>
    <row r="17" customFormat="false" ht="15" hidden="false" customHeight="false" outlineLevel="0" collapsed="false">
      <c r="A17" s="12" t="n">
        <v>3</v>
      </c>
      <c r="B17" s="12" t="s">
        <v>175</v>
      </c>
      <c r="C17" s="12" t="s">
        <v>49</v>
      </c>
      <c r="D17" s="12" t="s">
        <v>166</v>
      </c>
    </row>
    <row r="18" customFormat="false" ht="23.85" hidden="false" customHeight="false" outlineLevel="0" collapsed="false">
      <c r="A18" s="12" t="n">
        <v>4</v>
      </c>
      <c r="B18" s="12" t="s">
        <v>176</v>
      </c>
      <c r="C18" s="12" t="s">
        <v>49</v>
      </c>
      <c r="D18" s="12" t="s">
        <v>177</v>
      </c>
    </row>
    <row r="19" customFormat="false" ht="15" hidden="false" customHeight="false" outlineLevel="0" collapsed="false">
      <c r="A19" s="12" t="n">
        <v>5</v>
      </c>
      <c r="B19" s="12" t="s">
        <v>178</v>
      </c>
      <c r="C19" s="12" t="s">
        <v>92</v>
      </c>
      <c r="D19" s="12" t="s">
        <v>179</v>
      </c>
    </row>
    <row r="20" customFormat="false" ht="15" hidden="false" customHeight="false" outlineLevel="0" collapsed="false">
      <c r="A20" s="12" t="n">
        <v>6</v>
      </c>
      <c r="B20" s="12" t="s">
        <v>180</v>
      </c>
      <c r="C20" s="12" t="s">
        <v>64</v>
      </c>
      <c r="D20" s="12" t="s">
        <v>181</v>
      </c>
    </row>
    <row r="21" customFormat="false" ht="15" hidden="false" customHeight="false" outlineLevel="0" collapsed="false">
      <c r="A21" s="12" t="n">
        <v>7</v>
      </c>
      <c r="B21" s="12" t="s">
        <v>182</v>
      </c>
      <c r="C21" s="12" t="s">
        <v>120</v>
      </c>
      <c r="D21" s="12" t="s">
        <v>183</v>
      </c>
    </row>
    <row r="22" customFormat="false" ht="15" hidden="false" customHeight="false" outlineLevel="0" collapsed="false">
      <c r="A22" s="12" t="n">
        <v>8</v>
      </c>
      <c r="B22" s="12" t="s">
        <v>184</v>
      </c>
      <c r="C22" s="12" t="s">
        <v>98</v>
      </c>
      <c r="D22" s="12" t="s">
        <v>185</v>
      </c>
    </row>
    <row r="23" customFormat="false" ht="15" hidden="false" customHeight="false" outlineLevel="0" collapsed="false">
      <c r="A23" s="12" t="n">
        <v>9</v>
      </c>
      <c r="B23" s="12" t="s">
        <v>186</v>
      </c>
      <c r="C23" s="12" t="s">
        <v>106</v>
      </c>
      <c r="D23" s="12" t="s">
        <v>187</v>
      </c>
    </row>
    <row r="24" customFormat="false" ht="15" hidden="false" customHeight="false" outlineLevel="0" collapsed="false">
      <c r="A24" s="12" t="n">
        <v>10</v>
      </c>
      <c r="B24" s="12" t="s">
        <v>188</v>
      </c>
      <c r="C24" s="12" t="s">
        <v>112</v>
      </c>
      <c r="D24" s="12" t="s">
        <v>189</v>
      </c>
    </row>
    <row r="25" customFormat="false" ht="15" hidden="false" customHeight="false" outlineLevel="0" collapsed="false">
      <c r="A25" s="12" t="n">
        <v>11</v>
      </c>
      <c r="B25" s="12" t="s">
        <v>190</v>
      </c>
      <c r="C25" s="12" t="s">
        <v>71</v>
      </c>
      <c r="D25" s="12" t="s">
        <v>191</v>
      </c>
    </row>
    <row r="26" customFormat="false" ht="15" hidden="false" customHeight="false" outlineLevel="0" collapsed="false">
      <c r="A26" s="12" t="n">
        <v>12</v>
      </c>
      <c r="B26" s="12" t="s">
        <v>192</v>
      </c>
      <c r="C26" s="12" t="s">
        <v>132</v>
      </c>
      <c r="D26" s="12" t="s">
        <v>193</v>
      </c>
    </row>
    <row r="28" customFormat="false" ht="15" hidden="false" customHeight="false" outlineLevel="0" collapsed="false">
      <c r="A28" s="3" t="s">
        <v>194</v>
      </c>
    </row>
    <row r="29" customFormat="false" ht="15" hidden="false" customHeight="false" outlineLevel="0" collapsed="false">
      <c r="A29" s="15" t="s">
        <v>156</v>
      </c>
      <c r="B29" s="15" t="s">
        <v>157</v>
      </c>
      <c r="C29" s="15" t="s">
        <v>39</v>
      </c>
      <c r="D29" s="15" t="s">
        <v>158</v>
      </c>
    </row>
    <row r="30" customFormat="false" ht="15" hidden="false" customHeight="false" outlineLevel="0" collapsed="false">
      <c r="A30" s="12" t="n">
        <v>1</v>
      </c>
      <c r="B30" s="12" t="s">
        <v>195</v>
      </c>
      <c r="C30" s="12" t="s">
        <v>132</v>
      </c>
      <c r="D30" s="12" t="s">
        <v>196</v>
      </c>
    </row>
    <row r="31" customFormat="false" ht="15" hidden="false" customHeight="false" outlineLevel="0" collapsed="false">
      <c r="A31" s="12" t="n">
        <v>2</v>
      </c>
      <c r="B31" s="12" t="s">
        <v>197</v>
      </c>
      <c r="C31" s="12" t="s">
        <v>49</v>
      </c>
      <c r="D31" s="12" t="s">
        <v>166</v>
      </c>
    </row>
    <row r="32" customFormat="false" ht="15" hidden="false" customHeight="false" outlineLevel="0" collapsed="false">
      <c r="A32" s="12" t="n">
        <v>3</v>
      </c>
      <c r="B32" s="12" t="s">
        <v>198</v>
      </c>
      <c r="C32" s="12" t="s">
        <v>84</v>
      </c>
      <c r="D32" s="12" t="s">
        <v>199</v>
      </c>
    </row>
    <row r="33" customFormat="false" ht="15" hidden="false" customHeight="false" outlineLevel="0" collapsed="false">
      <c r="A33" s="12" t="n">
        <v>4</v>
      </c>
      <c r="B33" s="12" t="s">
        <v>200</v>
      </c>
      <c r="C33" s="12" t="s">
        <v>84</v>
      </c>
      <c r="D33" s="12" t="s">
        <v>201</v>
      </c>
    </row>
    <row r="34" customFormat="false" ht="15" hidden="false" customHeight="false" outlineLevel="0" collapsed="false">
      <c r="A34" s="12" t="n">
        <v>5</v>
      </c>
      <c r="B34" s="12" t="s">
        <v>202</v>
      </c>
      <c r="C34" s="12" t="s">
        <v>84</v>
      </c>
      <c r="D34" s="12" t="s">
        <v>203</v>
      </c>
    </row>
    <row r="35" customFormat="false" ht="15" hidden="false" customHeight="false" outlineLevel="0" collapsed="false">
      <c r="A35" s="12" t="n">
        <v>6</v>
      </c>
      <c r="B35" s="12" t="s">
        <v>204</v>
      </c>
      <c r="C35" s="12" t="s">
        <v>132</v>
      </c>
      <c r="D35" s="12" t="s">
        <v>196</v>
      </c>
    </row>
    <row r="36" customFormat="false" ht="15" hidden="false" customHeight="false" outlineLevel="0" collapsed="false">
      <c r="A36" s="12" t="n">
        <v>7</v>
      </c>
      <c r="B36" s="12" t="s">
        <v>205</v>
      </c>
      <c r="C36" s="12" t="s">
        <v>49</v>
      </c>
      <c r="D36" s="12" t="s">
        <v>206</v>
      </c>
    </row>
    <row r="37" customFormat="false" ht="15" hidden="false" customHeight="false" outlineLevel="0" collapsed="false">
      <c r="A37" s="12" t="n">
        <v>8</v>
      </c>
      <c r="B37" s="12" t="s">
        <v>207</v>
      </c>
      <c r="C37" s="12" t="s">
        <v>78</v>
      </c>
      <c r="D37" s="12" t="s">
        <v>208</v>
      </c>
    </row>
    <row r="38" customFormat="false" ht="15" hidden="false" customHeight="false" outlineLevel="0" collapsed="false">
      <c r="A38" s="12" t="n">
        <v>9</v>
      </c>
      <c r="B38" s="12" t="s">
        <v>209</v>
      </c>
      <c r="C38" s="12" t="s">
        <v>92</v>
      </c>
      <c r="D38" s="12" t="s">
        <v>210</v>
      </c>
    </row>
    <row r="40" customFormat="false" ht="15" hidden="false" customHeight="false" outlineLevel="0" collapsed="false">
      <c r="A40" s="3" t="s">
        <v>211</v>
      </c>
    </row>
    <row r="41" customFormat="false" ht="15" hidden="false" customHeight="false" outlineLevel="0" collapsed="false">
      <c r="A41" s="15" t="s">
        <v>156</v>
      </c>
      <c r="B41" s="15" t="s">
        <v>157</v>
      </c>
      <c r="C41" s="15" t="s">
        <v>39</v>
      </c>
      <c r="D41" s="15" t="s">
        <v>158</v>
      </c>
    </row>
    <row r="42" customFormat="false" ht="15" hidden="false" customHeight="false" outlineLevel="0" collapsed="false">
      <c r="A42" s="12" t="n">
        <v>1</v>
      </c>
      <c r="B42" s="12" t="s">
        <v>212</v>
      </c>
      <c r="C42" s="12" t="s">
        <v>132</v>
      </c>
      <c r="D42" s="12" t="s">
        <v>213</v>
      </c>
    </row>
    <row r="43" customFormat="false" ht="15" hidden="false" customHeight="false" outlineLevel="0" collapsed="false">
      <c r="A43" s="12" t="n">
        <v>2</v>
      </c>
      <c r="B43" s="12" t="s">
        <v>214</v>
      </c>
      <c r="C43" s="12" t="s">
        <v>132</v>
      </c>
      <c r="D43" s="12" t="s">
        <v>215</v>
      </c>
    </row>
    <row r="44" customFormat="false" ht="15" hidden="false" customHeight="false" outlineLevel="0" collapsed="false">
      <c r="A44" s="12" t="n">
        <v>3</v>
      </c>
      <c r="B44" s="12" t="s">
        <v>216</v>
      </c>
      <c r="C44" s="12" t="s">
        <v>49</v>
      </c>
      <c r="D44" s="12" t="s">
        <v>166</v>
      </c>
    </row>
    <row r="45" customFormat="false" ht="15" hidden="false" customHeight="false" outlineLevel="0" collapsed="false">
      <c r="A45" s="12" t="n">
        <v>4</v>
      </c>
      <c r="B45" s="12" t="s">
        <v>217</v>
      </c>
      <c r="C45" s="12" t="s">
        <v>112</v>
      </c>
      <c r="D45" s="12" t="s">
        <v>218</v>
      </c>
    </row>
    <row r="46" customFormat="false" ht="15" hidden="false" customHeight="false" outlineLevel="0" collapsed="false">
      <c r="A46" s="12" t="n">
        <v>5</v>
      </c>
      <c r="B46" s="12" t="s">
        <v>219</v>
      </c>
      <c r="C46" s="12" t="s">
        <v>112</v>
      </c>
      <c r="D46" s="12" t="s">
        <v>220</v>
      </c>
    </row>
    <row r="47" customFormat="false" ht="15" hidden="false" customHeight="false" outlineLevel="0" collapsed="false">
      <c r="A47" s="12" t="n">
        <v>6</v>
      </c>
      <c r="B47" s="12" t="s">
        <v>221</v>
      </c>
      <c r="C47" s="12" t="s">
        <v>112</v>
      </c>
      <c r="D47" s="12" t="s">
        <v>222</v>
      </c>
    </row>
    <row r="48" customFormat="false" ht="15" hidden="false" customHeight="false" outlineLevel="0" collapsed="false">
      <c r="A48" s="12" t="n">
        <v>7</v>
      </c>
      <c r="B48" s="12" t="s">
        <v>223</v>
      </c>
      <c r="C48" s="12" t="s">
        <v>139</v>
      </c>
      <c r="D48" s="12" t="s">
        <v>224</v>
      </c>
    </row>
    <row r="50" customFormat="false" ht="15" hidden="false" customHeight="false" outlineLevel="0" collapsed="false">
      <c r="A50" s="3" t="s">
        <v>225</v>
      </c>
    </row>
    <row r="51" customFormat="false" ht="15" hidden="false" customHeight="false" outlineLevel="0" collapsed="false">
      <c r="A51" s="15" t="s">
        <v>156</v>
      </c>
      <c r="B51" s="15" t="s">
        <v>157</v>
      </c>
      <c r="C51" s="15" t="s">
        <v>39</v>
      </c>
      <c r="D51" s="15" t="s">
        <v>158</v>
      </c>
    </row>
    <row r="52" customFormat="false" ht="15" hidden="false" customHeight="false" outlineLevel="0" collapsed="false">
      <c r="A52" s="12" t="n">
        <v>1</v>
      </c>
      <c r="B52" s="12" t="s">
        <v>226</v>
      </c>
      <c r="C52" s="12" t="s">
        <v>132</v>
      </c>
      <c r="D52" s="12" t="s">
        <v>227</v>
      </c>
    </row>
    <row r="53" customFormat="false" ht="15" hidden="false" customHeight="false" outlineLevel="0" collapsed="false">
      <c r="A53" s="12" t="n">
        <v>2</v>
      </c>
      <c r="B53" s="12" t="s">
        <v>228</v>
      </c>
      <c r="C53" s="12" t="s">
        <v>49</v>
      </c>
      <c r="D53" s="12" t="s">
        <v>229</v>
      </c>
    </row>
    <row r="54" customFormat="false" ht="15" hidden="false" customHeight="false" outlineLevel="0" collapsed="false">
      <c r="A54" s="12" t="n">
        <v>3</v>
      </c>
      <c r="B54" s="12" t="s">
        <v>230</v>
      </c>
      <c r="C54" s="12" t="s">
        <v>49</v>
      </c>
      <c r="D54" s="12" t="s">
        <v>206</v>
      </c>
    </row>
    <row r="55" customFormat="false" ht="15" hidden="false" customHeight="false" outlineLevel="0" collapsed="false">
      <c r="A55" s="12" t="n">
        <v>4</v>
      </c>
      <c r="B55" s="12" t="s">
        <v>231</v>
      </c>
      <c r="C55" s="12" t="s">
        <v>49</v>
      </c>
      <c r="D55" s="12" t="s">
        <v>232</v>
      </c>
    </row>
    <row r="56" customFormat="false" ht="15" hidden="false" customHeight="false" outlineLevel="0" collapsed="false">
      <c r="A56" s="12" t="n">
        <v>5</v>
      </c>
      <c r="B56" s="12" t="s">
        <v>233</v>
      </c>
      <c r="C56" s="12" t="s">
        <v>49</v>
      </c>
      <c r="D56" s="12" t="s">
        <v>177</v>
      </c>
    </row>
    <row r="57" customFormat="false" ht="15" hidden="false" customHeight="false" outlineLevel="0" collapsed="false">
      <c r="A57" s="12" t="n">
        <v>6</v>
      </c>
      <c r="B57" s="12" t="s">
        <v>234</v>
      </c>
      <c r="C57" s="12" t="s">
        <v>57</v>
      </c>
      <c r="D57" s="12" t="s">
        <v>235</v>
      </c>
    </row>
    <row r="58" customFormat="false" ht="15" hidden="false" customHeight="false" outlineLevel="0" collapsed="false">
      <c r="A58" s="12" t="n">
        <v>7</v>
      </c>
      <c r="B58" s="12" t="s">
        <v>236</v>
      </c>
      <c r="C58" s="12" t="s">
        <v>49</v>
      </c>
      <c r="D58" s="12" t="s">
        <v>237</v>
      </c>
    </row>
    <row r="59" customFormat="false" ht="15" hidden="false" customHeight="false" outlineLevel="0" collapsed="false">
      <c r="A59" s="12" t="n">
        <v>8</v>
      </c>
      <c r="B59" s="12" t="s">
        <v>238</v>
      </c>
      <c r="C59" s="12" t="s">
        <v>49</v>
      </c>
      <c r="D59" s="12"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8823A"/>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0"/>
    <col collapsed="false" customWidth="true" hidden="false" outlineLevel="0" max="3" min="3" style="0" width="70"/>
  </cols>
  <sheetData>
    <row r="1" customFormat="false" ht="30" hidden="false" customHeight="true" outlineLevel="0" collapsed="false">
      <c r="A1" s="10" t="s">
        <v>240</v>
      </c>
      <c r="B1" s="10" t="s">
        <v>241</v>
      </c>
      <c r="C1" s="10" t="s">
        <v>242</v>
      </c>
    </row>
    <row r="2" customFormat="false" ht="35.05" hidden="false" customHeight="false" outlineLevel="0" collapsed="false">
      <c r="A2" s="11" t="s">
        <v>243</v>
      </c>
      <c r="B2" s="12" t="s">
        <v>244</v>
      </c>
      <c r="C2" s="12" t="s">
        <v>245</v>
      </c>
    </row>
    <row r="3" customFormat="false" ht="23.85" hidden="false" customHeight="false" outlineLevel="0" collapsed="false">
      <c r="A3" s="11" t="s">
        <v>246</v>
      </c>
      <c r="B3" s="12" t="s">
        <v>247</v>
      </c>
      <c r="C3" s="12" t="s">
        <v>248</v>
      </c>
    </row>
    <row r="4" customFormat="false" ht="15" hidden="false" customHeight="false" outlineLevel="0" collapsed="false">
      <c r="A4" s="11" t="s">
        <v>249</v>
      </c>
      <c r="B4" s="12" t="s">
        <v>250</v>
      </c>
      <c r="C4" s="12" t="s">
        <v>251</v>
      </c>
    </row>
    <row r="5" customFormat="false" ht="23.85" hidden="false" customHeight="false" outlineLevel="0" collapsed="false">
      <c r="A5" s="11" t="s">
        <v>252</v>
      </c>
      <c r="B5" s="12" t="s">
        <v>253</v>
      </c>
      <c r="C5" s="12" t="s">
        <v>254</v>
      </c>
    </row>
    <row r="6" customFormat="false" ht="23.85" hidden="false" customHeight="false" outlineLevel="0" collapsed="false">
      <c r="A6" s="11" t="s">
        <v>255</v>
      </c>
      <c r="B6" s="12" t="s">
        <v>256</v>
      </c>
      <c r="C6" s="12" t="s">
        <v>257</v>
      </c>
    </row>
    <row r="7" customFormat="false" ht="23.85" hidden="false" customHeight="false" outlineLevel="0" collapsed="false">
      <c r="A7" s="11" t="s">
        <v>258</v>
      </c>
      <c r="B7" s="12" t="s">
        <v>259</v>
      </c>
      <c r="C7" s="12" t="s">
        <v>260</v>
      </c>
    </row>
    <row r="8" customFormat="false" ht="23.85" hidden="false" customHeight="false" outlineLevel="0" collapsed="false">
      <c r="A8" s="11" t="s">
        <v>261</v>
      </c>
      <c r="B8" s="12" t="s">
        <v>262</v>
      </c>
      <c r="C8" s="12" t="s">
        <v>263</v>
      </c>
    </row>
    <row r="9" customFormat="false" ht="23.85" hidden="false" customHeight="false" outlineLevel="0" collapsed="false">
      <c r="A9" s="11" t="s">
        <v>264</v>
      </c>
      <c r="B9" s="12" t="s">
        <v>265</v>
      </c>
      <c r="C9" s="12" t="s">
        <v>266</v>
      </c>
    </row>
    <row r="10" customFormat="false" ht="23.85" hidden="false" customHeight="false" outlineLevel="0" collapsed="false">
      <c r="A10" s="11" t="s">
        <v>267</v>
      </c>
      <c r="B10" s="12" t="s">
        <v>268</v>
      </c>
      <c r="C10" s="12" t="s">
        <v>269</v>
      </c>
    </row>
    <row r="11" customFormat="false" ht="23.85" hidden="false" customHeight="false" outlineLevel="0" collapsed="false">
      <c r="A11" s="11" t="s">
        <v>270</v>
      </c>
      <c r="B11" s="12" t="s">
        <v>271</v>
      </c>
      <c r="C11" s="12" t="s">
        <v>272</v>
      </c>
    </row>
    <row r="12" customFormat="false" ht="23.85" hidden="false" customHeight="false" outlineLevel="0" collapsed="false">
      <c r="A12" s="11" t="s">
        <v>273</v>
      </c>
      <c r="B12" s="12" t="s">
        <v>274</v>
      </c>
      <c r="C12" s="12" t="s">
        <v>275</v>
      </c>
    </row>
    <row r="13" customFormat="false" ht="23.85" hidden="false" customHeight="false" outlineLevel="0" collapsed="false">
      <c r="A13" s="11" t="s">
        <v>276</v>
      </c>
      <c r="B13" s="12" t="s">
        <v>277</v>
      </c>
      <c r="C13" s="12" t="s">
        <v>278</v>
      </c>
    </row>
    <row r="14" customFormat="false" ht="23.85" hidden="false" customHeight="false" outlineLevel="0" collapsed="false">
      <c r="A14" s="11" t="s">
        <v>279</v>
      </c>
      <c r="B14" s="12" t="s">
        <v>280</v>
      </c>
      <c r="C14" s="12" t="s">
        <v>281</v>
      </c>
    </row>
    <row r="15" customFormat="false" ht="23.85" hidden="false" customHeight="false" outlineLevel="0" collapsed="false">
      <c r="A15" s="11" t="s">
        <v>282</v>
      </c>
      <c r="B15" s="12" t="s">
        <v>283</v>
      </c>
      <c r="C15" s="12"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C2B30"/>
    <pageSetUpPr fitToPage="false"/>
  </sheetPr>
  <dimension ref="A1:K4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8"/>
    <col collapsed="false" customWidth="true" hidden="false" outlineLevel="0" max="4" min="4" style="0" width="26"/>
    <col collapsed="false" customWidth="true" hidden="false" outlineLevel="0" max="5" min="5" style="0" width="16"/>
    <col collapsed="false" customWidth="true" hidden="false" outlineLevel="0" max="6" min="6" style="0" width="9"/>
    <col collapsed="false" customWidth="true" hidden="false" outlineLevel="0" max="7" min="7" style="0" width="55"/>
    <col collapsed="false" customWidth="true" hidden="false" outlineLevel="0" max="8" min="8" style="0" width="50"/>
    <col collapsed="false" customWidth="true" hidden="false" outlineLevel="0" max="9" min="9" style="0" width="42"/>
    <col collapsed="false" customWidth="true" hidden="false" outlineLevel="0" max="10" min="10" style="0" width="50"/>
    <col collapsed="false" customWidth="true" hidden="false" outlineLevel="0" max="11" min="11" style="0" width="11"/>
  </cols>
  <sheetData>
    <row r="1" customFormat="false" ht="30" hidden="false" customHeight="true" outlineLevel="0" collapsed="false">
      <c r="A1" s="10" t="s">
        <v>285</v>
      </c>
      <c r="B1" s="10" t="s">
        <v>39</v>
      </c>
      <c r="C1" s="10" t="s">
        <v>43</v>
      </c>
      <c r="D1" s="10" t="s">
        <v>158</v>
      </c>
      <c r="E1" s="10" t="s">
        <v>286</v>
      </c>
      <c r="F1" s="10" t="s">
        <v>19</v>
      </c>
      <c r="G1" s="10" t="s">
        <v>44</v>
      </c>
      <c r="H1" s="10" t="s">
        <v>287</v>
      </c>
      <c r="I1" s="10" t="s">
        <v>288</v>
      </c>
      <c r="J1" s="10" t="s">
        <v>289</v>
      </c>
      <c r="K1" s="10" t="s">
        <v>290</v>
      </c>
    </row>
    <row r="2" customFormat="false" ht="23.85" hidden="false" customHeight="false" outlineLevel="0" collapsed="false">
      <c r="A2" s="12" t="n">
        <v>1</v>
      </c>
      <c r="B2" s="12" t="s">
        <v>49</v>
      </c>
      <c r="C2" s="12" t="s">
        <v>291</v>
      </c>
      <c r="D2" s="11" t="s">
        <v>292</v>
      </c>
      <c r="E2" s="12" t="s">
        <v>293</v>
      </c>
      <c r="F2" s="16" t="n">
        <v>1</v>
      </c>
      <c r="G2" s="12" t="s">
        <v>294</v>
      </c>
      <c r="H2" s="12" t="s">
        <v>295</v>
      </c>
      <c r="I2" s="12" t="s">
        <v>296</v>
      </c>
      <c r="J2" s="12" t="s">
        <v>297</v>
      </c>
      <c r="K2" s="17" t="s">
        <v>298</v>
      </c>
    </row>
    <row r="3" customFormat="false" ht="57.45" hidden="false" customHeight="false" outlineLevel="0" collapsed="false">
      <c r="A3" s="12" t="n">
        <v>2</v>
      </c>
      <c r="B3" s="12" t="s">
        <v>49</v>
      </c>
      <c r="C3" s="12" t="s">
        <v>299</v>
      </c>
      <c r="D3" s="11" t="s">
        <v>300</v>
      </c>
      <c r="E3" s="12" t="s">
        <v>301</v>
      </c>
      <c r="F3" s="16" t="n">
        <v>1</v>
      </c>
      <c r="G3" s="12" t="s">
        <v>302</v>
      </c>
      <c r="H3" s="12" t="s">
        <v>303</v>
      </c>
      <c r="I3" s="12" t="s">
        <v>304</v>
      </c>
      <c r="J3" s="12" t="s">
        <v>305</v>
      </c>
      <c r="K3" s="17" t="s">
        <v>298</v>
      </c>
    </row>
    <row r="4" customFormat="false" ht="57.45" hidden="false" customHeight="false" outlineLevel="0" collapsed="false">
      <c r="A4" s="12" t="n">
        <v>3</v>
      </c>
      <c r="B4" s="12" t="s">
        <v>49</v>
      </c>
      <c r="C4" s="12" t="s">
        <v>299</v>
      </c>
      <c r="D4" s="11" t="s">
        <v>306</v>
      </c>
      <c r="E4" s="12" t="s">
        <v>301</v>
      </c>
      <c r="F4" s="16" t="n">
        <v>1</v>
      </c>
      <c r="G4" s="12" t="s">
        <v>307</v>
      </c>
      <c r="H4" s="12" t="s">
        <v>308</v>
      </c>
      <c r="I4" s="12" t="s">
        <v>309</v>
      </c>
      <c r="J4" s="12" t="s">
        <v>310</v>
      </c>
      <c r="K4" s="17" t="s">
        <v>298</v>
      </c>
    </row>
    <row r="5" customFormat="false" ht="68.65" hidden="false" customHeight="false" outlineLevel="0" collapsed="false">
      <c r="A5" s="12" t="n">
        <v>4</v>
      </c>
      <c r="B5" s="12" t="s">
        <v>49</v>
      </c>
      <c r="C5" s="12" t="s">
        <v>311</v>
      </c>
      <c r="D5" s="11" t="s">
        <v>312</v>
      </c>
      <c r="E5" s="12" t="s">
        <v>313</v>
      </c>
      <c r="F5" s="16" t="n">
        <v>1</v>
      </c>
      <c r="G5" s="12" t="s">
        <v>314</v>
      </c>
      <c r="H5" s="12" t="s">
        <v>315</v>
      </c>
      <c r="I5" s="12" t="s">
        <v>316</v>
      </c>
      <c r="J5" s="12" t="s">
        <v>317</v>
      </c>
      <c r="K5" s="17" t="s">
        <v>298</v>
      </c>
    </row>
    <row r="6" customFormat="false" ht="35.05" hidden="false" customHeight="false" outlineLevel="0" collapsed="false">
      <c r="A6" s="12" t="n">
        <v>5</v>
      </c>
      <c r="B6" s="12" t="s">
        <v>49</v>
      </c>
      <c r="C6" s="12" t="s">
        <v>318</v>
      </c>
      <c r="D6" s="11" t="s">
        <v>319</v>
      </c>
      <c r="E6" s="12" t="s">
        <v>320</v>
      </c>
      <c r="F6" s="16" t="n">
        <v>1</v>
      </c>
      <c r="G6" s="12" t="s">
        <v>321</v>
      </c>
      <c r="H6" s="12" t="s">
        <v>322</v>
      </c>
      <c r="I6" s="12" t="s">
        <v>323</v>
      </c>
      <c r="J6" s="12" t="s">
        <v>324</v>
      </c>
      <c r="K6" s="17" t="s">
        <v>298</v>
      </c>
    </row>
    <row r="7" customFormat="false" ht="35.05" hidden="false" customHeight="false" outlineLevel="0" collapsed="false">
      <c r="A7" s="12" t="n">
        <v>6</v>
      </c>
      <c r="B7" s="12" t="s">
        <v>49</v>
      </c>
      <c r="C7" s="12" t="s">
        <v>325</v>
      </c>
      <c r="D7" s="11" t="s">
        <v>326</v>
      </c>
      <c r="E7" s="12" t="s">
        <v>327</v>
      </c>
      <c r="F7" s="16" t="n">
        <v>1</v>
      </c>
      <c r="G7" s="12" t="s">
        <v>328</v>
      </c>
      <c r="H7" s="12" t="s">
        <v>329</v>
      </c>
      <c r="I7" s="12" t="s">
        <v>330</v>
      </c>
      <c r="J7" s="12" t="s">
        <v>331</v>
      </c>
      <c r="K7" s="17" t="s">
        <v>298</v>
      </c>
    </row>
    <row r="8" customFormat="false" ht="35.05" hidden="false" customHeight="false" outlineLevel="0" collapsed="false">
      <c r="A8" s="12" t="n">
        <v>7</v>
      </c>
      <c r="B8" s="12" t="s">
        <v>49</v>
      </c>
      <c r="C8" s="12" t="s">
        <v>332</v>
      </c>
      <c r="D8" s="11" t="s">
        <v>333</v>
      </c>
      <c r="E8" s="12" t="s">
        <v>293</v>
      </c>
      <c r="F8" s="16" t="n">
        <v>1</v>
      </c>
      <c r="G8" s="12" t="s">
        <v>334</v>
      </c>
      <c r="H8" s="12" t="s">
        <v>335</v>
      </c>
      <c r="I8" s="12" t="s">
        <v>336</v>
      </c>
      <c r="J8" s="12" t="s">
        <v>337</v>
      </c>
      <c r="K8" s="17" t="s">
        <v>298</v>
      </c>
    </row>
    <row r="9" customFormat="false" ht="23.85" hidden="false" customHeight="false" outlineLevel="0" collapsed="false">
      <c r="A9" s="12" t="n">
        <v>8</v>
      </c>
      <c r="B9" s="12" t="s">
        <v>49</v>
      </c>
      <c r="C9" s="12" t="s">
        <v>332</v>
      </c>
      <c r="D9" s="11" t="s">
        <v>338</v>
      </c>
      <c r="E9" s="12" t="s">
        <v>293</v>
      </c>
      <c r="F9" s="16" t="n">
        <v>1</v>
      </c>
      <c r="G9" s="12" t="s">
        <v>339</v>
      </c>
      <c r="H9" s="12" t="s">
        <v>340</v>
      </c>
      <c r="I9" s="12" t="s">
        <v>341</v>
      </c>
      <c r="J9" s="12" t="s">
        <v>342</v>
      </c>
      <c r="K9" s="17" t="s">
        <v>298</v>
      </c>
    </row>
    <row r="10" customFormat="false" ht="35.05" hidden="false" customHeight="false" outlineLevel="0" collapsed="false">
      <c r="A10" s="12" t="n">
        <v>9</v>
      </c>
      <c r="B10" s="12" t="s">
        <v>49</v>
      </c>
      <c r="C10" s="12" t="s">
        <v>332</v>
      </c>
      <c r="D10" s="11" t="s">
        <v>343</v>
      </c>
      <c r="E10" s="12" t="s">
        <v>293</v>
      </c>
      <c r="F10" s="16" t="n">
        <v>1</v>
      </c>
      <c r="G10" s="12" t="s">
        <v>344</v>
      </c>
      <c r="H10" s="12" t="s">
        <v>345</v>
      </c>
      <c r="I10" s="12" t="s">
        <v>346</v>
      </c>
      <c r="J10" s="12" t="s">
        <v>347</v>
      </c>
      <c r="K10" s="17" t="s">
        <v>298</v>
      </c>
    </row>
    <row r="11" customFormat="false" ht="35.05" hidden="false" customHeight="false" outlineLevel="0" collapsed="false">
      <c r="A11" s="12" t="n">
        <v>10</v>
      </c>
      <c r="B11" s="12" t="s">
        <v>49</v>
      </c>
      <c r="C11" s="12" t="s">
        <v>332</v>
      </c>
      <c r="D11" s="11" t="s">
        <v>348</v>
      </c>
      <c r="E11" s="12" t="s">
        <v>293</v>
      </c>
      <c r="F11" s="16" t="n">
        <v>1</v>
      </c>
      <c r="G11" s="12" t="s">
        <v>349</v>
      </c>
      <c r="H11" s="12" t="s">
        <v>350</v>
      </c>
      <c r="I11" s="12" t="s">
        <v>351</v>
      </c>
      <c r="J11" s="12" t="s">
        <v>352</v>
      </c>
      <c r="K11" s="17" t="s">
        <v>298</v>
      </c>
    </row>
    <row r="12" customFormat="false" ht="46.25" hidden="false" customHeight="false" outlineLevel="0" collapsed="false">
      <c r="A12" s="12" t="n">
        <v>11</v>
      </c>
      <c r="B12" s="12" t="s">
        <v>49</v>
      </c>
      <c r="C12" s="12" t="s">
        <v>353</v>
      </c>
      <c r="D12" s="11" t="s">
        <v>354</v>
      </c>
      <c r="E12" s="12" t="s">
        <v>355</v>
      </c>
      <c r="F12" s="16" t="n">
        <v>1</v>
      </c>
      <c r="G12" s="12" t="s">
        <v>356</v>
      </c>
      <c r="H12" s="12" t="s">
        <v>357</v>
      </c>
      <c r="I12" s="12" t="s">
        <v>358</v>
      </c>
      <c r="J12" s="12" t="s">
        <v>359</v>
      </c>
      <c r="K12" s="17" t="s">
        <v>298</v>
      </c>
    </row>
    <row r="13" customFormat="false" ht="35.05" hidden="false" customHeight="false" outlineLevel="0" collapsed="false">
      <c r="A13" s="12" t="n">
        <v>12</v>
      </c>
      <c r="B13" s="12" t="s">
        <v>49</v>
      </c>
      <c r="C13" s="12" t="s">
        <v>360</v>
      </c>
      <c r="D13" s="11" t="s">
        <v>361</v>
      </c>
      <c r="E13" s="12" t="s">
        <v>362</v>
      </c>
      <c r="F13" s="16" t="n">
        <v>1</v>
      </c>
      <c r="G13" s="12" t="s">
        <v>363</v>
      </c>
      <c r="H13" s="12" t="s">
        <v>364</v>
      </c>
      <c r="I13" s="12" t="s">
        <v>365</v>
      </c>
      <c r="J13" s="12" t="s">
        <v>366</v>
      </c>
      <c r="K13" s="17" t="s">
        <v>298</v>
      </c>
    </row>
    <row r="14" customFormat="false" ht="35.05" hidden="false" customHeight="false" outlineLevel="0" collapsed="false">
      <c r="A14" s="12" t="n">
        <v>13</v>
      </c>
      <c r="B14" s="12" t="s">
        <v>49</v>
      </c>
      <c r="C14" s="12" t="s">
        <v>360</v>
      </c>
      <c r="D14" s="11" t="s">
        <v>367</v>
      </c>
      <c r="E14" s="12" t="s">
        <v>362</v>
      </c>
      <c r="F14" s="16" t="n">
        <v>1</v>
      </c>
      <c r="G14" s="12" t="s">
        <v>368</v>
      </c>
      <c r="H14" s="12" t="s">
        <v>369</v>
      </c>
      <c r="I14" s="12" t="s">
        <v>370</v>
      </c>
      <c r="J14" s="12" t="s">
        <v>371</v>
      </c>
      <c r="K14" s="17" t="s">
        <v>298</v>
      </c>
    </row>
    <row r="15" customFormat="false" ht="23.85" hidden="false" customHeight="false" outlineLevel="0" collapsed="false">
      <c r="A15" s="12" t="n">
        <v>14</v>
      </c>
      <c r="B15" s="12" t="s">
        <v>49</v>
      </c>
      <c r="C15" s="12" t="s">
        <v>53</v>
      </c>
      <c r="D15" s="11" t="s">
        <v>372</v>
      </c>
      <c r="E15" s="12" t="s">
        <v>373</v>
      </c>
      <c r="F15" s="16" t="n">
        <v>2</v>
      </c>
      <c r="G15" s="12" t="s">
        <v>374</v>
      </c>
      <c r="H15" s="12" t="s">
        <v>375</v>
      </c>
      <c r="I15" s="12" t="s">
        <v>376</v>
      </c>
      <c r="J15" s="12"/>
      <c r="K15" s="17" t="s">
        <v>298</v>
      </c>
    </row>
    <row r="16" customFormat="false" ht="35.05" hidden="false" customHeight="false" outlineLevel="0" collapsed="false">
      <c r="A16" s="12" t="n">
        <v>15</v>
      </c>
      <c r="B16" s="12" t="s">
        <v>49</v>
      </c>
      <c r="C16" s="12" t="s">
        <v>291</v>
      </c>
      <c r="D16" s="11" t="s">
        <v>377</v>
      </c>
      <c r="E16" s="12" t="s">
        <v>293</v>
      </c>
      <c r="F16" s="16" t="n">
        <v>2</v>
      </c>
      <c r="G16" s="12" t="s">
        <v>378</v>
      </c>
      <c r="H16" s="12" t="s">
        <v>379</v>
      </c>
      <c r="I16" s="12" t="s">
        <v>380</v>
      </c>
      <c r="J16" s="12" t="s">
        <v>381</v>
      </c>
      <c r="K16" s="17" t="s">
        <v>298</v>
      </c>
    </row>
    <row r="17" customFormat="false" ht="23.85" hidden="false" customHeight="false" outlineLevel="0" collapsed="false">
      <c r="A17" s="12" t="n">
        <v>16</v>
      </c>
      <c r="B17" s="12" t="s">
        <v>49</v>
      </c>
      <c r="C17" s="12" t="s">
        <v>382</v>
      </c>
      <c r="D17" s="11" t="s">
        <v>383</v>
      </c>
      <c r="E17" s="12" t="s">
        <v>384</v>
      </c>
      <c r="F17" s="16" t="n">
        <v>2</v>
      </c>
      <c r="G17" s="12" t="s">
        <v>385</v>
      </c>
      <c r="H17" s="12" t="s">
        <v>386</v>
      </c>
      <c r="I17" s="12" t="s">
        <v>387</v>
      </c>
      <c r="J17" s="12" t="s">
        <v>388</v>
      </c>
      <c r="K17" s="17" t="s">
        <v>298</v>
      </c>
    </row>
    <row r="18" customFormat="false" ht="57.45" hidden="false" customHeight="false" outlineLevel="0" collapsed="false">
      <c r="A18" s="12" t="n">
        <v>17</v>
      </c>
      <c r="B18" s="12" t="s">
        <v>49</v>
      </c>
      <c r="C18" s="12" t="s">
        <v>382</v>
      </c>
      <c r="D18" s="11" t="s">
        <v>389</v>
      </c>
      <c r="E18" s="12" t="s">
        <v>384</v>
      </c>
      <c r="F18" s="16" t="n">
        <v>2</v>
      </c>
      <c r="G18" s="12" t="s">
        <v>390</v>
      </c>
      <c r="H18" s="12" t="s">
        <v>391</v>
      </c>
      <c r="I18" s="12" t="s">
        <v>392</v>
      </c>
      <c r="J18" s="12" t="s">
        <v>393</v>
      </c>
      <c r="K18" s="17" t="s">
        <v>298</v>
      </c>
    </row>
    <row r="19" customFormat="false" ht="57.45" hidden="false" customHeight="false" outlineLevel="0" collapsed="false">
      <c r="A19" s="12" t="n">
        <v>18</v>
      </c>
      <c r="B19" s="12" t="s">
        <v>49</v>
      </c>
      <c r="C19" s="12" t="s">
        <v>382</v>
      </c>
      <c r="D19" s="11" t="s">
        <v>394</v>
      </c>
      <c r="E19" s="12" t="s">
        <v>384</v>
      </c>
      <c r="F19" s="16" t="n">
        <v>2</v>
      </c>
      <c r="G19" s="12" t="s">
        <v>395</v>
      </c>
      <c r="H19" s="12" t="s">
        <v>396</v>
      </c>
      <c r="I19" s="12" t="s">
        <v>397</v>
      </c>
      <c r="J19" s="12" t="s">
        <v>398</v>
      </c>
      <c r="K19" s="17" t="s">
        <v>298</v>
      </c>
    </row>
    <row r="20" customFormat="false" ht="46.25" hidden="false" customHeight="false" outlineLevel="0" collapsed="false">
      <c r="A20" s="12" t="n">
        <v>19</v>
      </c>
      <c r="B20" s="12" t="s">
        <v>49</v>
      </c>
      <c r="C20" s="12" t="s">
        <v>382</v>
      </c>
      <c r="D20" s="11" t="s">
        <v>399</v>
      </c>
      <c r="E20" s="12" t="s">
        <v>384</v>
      </c>
      <c r="F20" s="16" t="n">
        <v>2</v>
      </c>
      <c r="G20" s="12" t="s">
        <v>400</v>
      </c>
      <c r="H20" s="12" t="s">
        <v>401</v>
      </c>
      <c r="I20" s="12" t="s">
        <v>402</v>
      </c>
      <c r="J20" s="12" t="s">
        <v>403</v>
      </c>
      <c r="K20" s="17" t="s">
        <v>298</v>
      </c>
    </row>
    <row r="21" customFormat="false" ht="57.45" hidden="false" customHeight="false" outlineLevel="0" collapsed="false">
      <c r="A21" s="12" t="n">
        <v>20</v>
      </c>
      <c r="B21" s="12" t="s">
        <v>49</v>
      </c>
      <c r="C21" s="12" t="s">
        <v>53</v>
      </c>
      <c r="D21" s="11" t="s">
        <v>404</v>
      </c>
      <c r="E21" s="12" t="s">
        <v>313</v>
      </c>
      <c r="F21" s="16" t="n">
        <v>3</v>
      </c>
      <c r="G21" s="12" t="s">
        <v>405</v>
      </c>
      <c r="H21" s="12" t="s">
        <v>406</v>
      </c>
      <c r="I21" s="12" t="s">
        <v>407</v>
      </c>
      <c r="J21" s="12" t="s">
        <v>408</v>
      </c>
      <c r="K21" s="17" t="s">
        <v>298</v>
      </c>
    </row>
    <row r="22" customFormat="false" ht="23.85" hidden="false" customHeight="false" outlineLevel="0" collapsed="false">
      <c r="A22" s="12" t="n">
        <v>21</v>
      </c>
      <c r="B22" s="12" t="s">
        <v>49</v>
      </c>
      <c r="C22" s="12" t="s">
        <v>53</v>
      </c>
      <c r="D22" s="11" t="s">
        <v>409</v>
      </c>
      <c r="E22" s="12" t="s">
        <v>410</v>
      </c>
      <c r="F22" s="16" t="n">
        <v>3</v>
      </c>
      <c r="G22" s="12" t="s">
        <v>411</v>
      </c>
      <c r="H22" s="12"/>
      <c r="I22" s="12"/>
      <c r="J22" s="12"/>
      <c r="K22" s="17" t="s">
        <v>298</v>
      </c>
    </row>
    <row r="23" customFormat="false" ht="23.85" hidden="false" customHeight="false" outlineLevel="0" collapsed="false">
      <c r="A23" s="12" t="n">
        <v>22</v>
      </c>
      <c r="B23" s="12" t="s">
        <v>49</v>
      </c>
      <c r="C23" s="12" t="s">
        <v>53</v>
      </c>
      <c r="D23" s="11" t="s">
        <v>412</v>
      </c>
      <c r="E23" s="12" t="s">
        <v>410</v>
      </c>
      <c r="F23" s="16" t="n">
        <v>3</v>
      </c>
      <c r="G23" s="12" t="s">
        <v>413</v>
      </c>
      <c r="H23" s="12"/>
      <c r="I23" s="12"/>
      <c r="J23" s="12"/>
      <c r="K23" s="17" t="s">
        <v>298</v>
      </c>
    </row>
    <row r="24" customFormat="false" ht="35.05" hidden="false" customHeight="false" outlineLevel="0" collapsed="false">
      <c r="A24" s="12" t="n">
        <v>23</v>
      </c>
      <c r="B24" s="12" t="s">
        <v>49</v>
      </c>
      <c r="C24" s="12" t="s">
        <v>53</v>
      </c>
      <c r="D24" s="11" t="s">
        <v>414</v>
      </c>
      <c r="E24" s="12" t="s">
        <v>384</v>
      </c>
      <c r="F24" s="16" t="n">
        <v>3</v>
      </c>
      <c r="G24" s="12" t="s">
        <v>415</v>
      </c>
      <c r="H24" s="12" t="s">
        <v>416</v>
      </c>
      <c r="I24" s="12" t="s">
        <v>417</v>
      </c>
      <c r="J24" s="12"/>
      <c r="K24" s="17" t="s">
        <v>298</v>
      </c>
    </row>
    <row r="25" customFormat="false" ht="15" hidden="false" customHeight="false" outlineLevel="0" collapsed="false">
      <c r="A25" s="12" t="n">
        <v>24</v>
      </c>
      <c r="B25" s="12" t="s">
        <v>49</v>
      </c>
      <c r="C25" s="12" t="s">
        <v>53</v>
      </c>
      <c r="D25" s="11" t="s">
        <v>418</v>
      </c>
      <c r="E25" s="12" t="s">
        <v>373</v>
      </c>
      <c r="F25" s="16" t="n">
        <v>3</v>
      </c>
      <c r="G25" s="12" t="s">
        <v>419</v>
      </c>
      <c r="H25" s="12" t="s">
        <v>420</v>
      </c>
      <c r="I25" s="12" t="s">
        <v>421</v>
      </c>
      <c r="J25" s="12"/>
      <c r="K25" s="17" t="s">
        <v>298</v>
      </c>
    </row>
    <row r="26" customFormat="false" ht="23.85" hidden="false" customHeight="false" outlineLevel="0" collapsed="false">
      <c r="A26" s="12" t="n">
        <v>25</v>
      </c>
      <c r="B26" s="12" t="s">
        <v>49</v>
      </c>
      <c r="C26" s="12" t="s">
        <v>53</v>
      </c>
      <c r="D26" s="11" t="s">
        <v>422</v>
      </c>
      <c r="E26" s="12" t="s">
        <v>373</v>
      </c>
      <c r="F26" s="16" t="n">
        <v>3</v>
      </c>
      <c r="G26" s="12" t="s">
        <v>423</v>
      </c>
      <c r="H26" s="12" t="s">
        <v>424</v>
      </c>
      <c r="I26" s="12" t="s">
        <v>425</v>
      </c>
      <c r="J26" s="12"/>
      <c r="K26" s="17" t="s">
        <v>298</v>
      </c>
    </row>
    <row r="27" customFormat="false" ht="15" hidden="false" customHeight="false" outlineLevel="0" collapsed="false">
      <c r="A27" s="12" t="n">
        <v>26</v>
      </c>
      <c r="B27" s="12" t="s">
        <v>49</v>
      </c>
      <c r="C27" s="12" t="s">
        <v>426</v>
      </c>
      <c r="D27" s="11" t="s">
        <v>427</v>
      </c>
      <c r="E27" s="12" t="s">
        <v>373</v>
      </c>
      <c r="F27" s="16" t="n">
        <v>3</v>
      </c>
      <c r="G27" s="12" t="s">
        <v>428</v>
      </c>
      <c r="H27" s="12" t="s">
        <v>429</v>
      </c>
      <c r="I27" s="12" t="s">
        <v>430</v>
      </c>
      <c r="J27" s="12"/>
      <c r="K27" s="17" t="s">
        <v>298</v>
      </c>
    </row>
    <row r="28" customFormat="false" ht="15" hidden="false" customHeight="false" outlineLevel="0" collapsed="false">
      <c r="A28" s="12" t="n">
        <v>27</v>
      </c>
      <c r="B28" s="12" t="s">
        <v>49</v>
      </c>
      <c r="C28" s="12" t="s">
        <v>291</v>
      </c>
      <c r="D28" s="11" t="s">
        <v>431</v>
      </c>
      <c r="E28" s="12" t="s">
        <v>293</v>
      </c>
      <c r="F28" s="16" t="n">
        <v>3</v>
      </c>
      <c r="G28" s="12" t="s">
        <v>432</v>
      </c>
      <c r="H28" s="12"/>
      <c r="I28" s="12"/>
      <c r="J28" s="12"/>
      <c r="K28" s="17" t="s">
        <v>298</v>
      </c>
    </row>
    <row r="29" customFormat="false" ht="46.25" hidden="false" customHeight="false" outlineLevel="0" collapsed="false">
      <c r="A29" s="12" t="n">
        <v>28</v>
      </c>
      <c r="B29" s="12" t="s">
        <v>49</v>
      </c>
      <c r="C29" s="12" t="s">
        <v>291</v>
      </c>
      <c r="D29" s="11" t="s">
        <v>433</v>
      </c>
      <c r="E29" s="12" t="s">
        <v>434</v>
      </c>
      <c r="F29" s="16" t="n">
        <v>3</v>
      </c>
      <c r="G29" s="12" t="s">
        <v>435</v>
      </c>
      <c r="H29" s="12" t="s">
        <v>436</v>
      </c>
      <c r="I29" s="12" t="s">
        <v>437</v>
      </c>
      <c r="J29" s="12"/>
      <c r="K29" s="17" t="s">
        <v>298</v>
      </c>
    </row>
    <row r="30" customFormat="false" ht="15" hidden="false" customHeight="false" outlineLevel="0" collapsed="false">
      <c r="A30" s="12" t="n">
        <v>29</v>
      </c>
      <c r="B30" s="12" t="s">
        <v>49</v>
      </c>
      <c r="C30" s="12" t="s">
        <v>299</v>
      </c>
      <c r="D30" s="11" t="s">
        <v>431</v>
      </c>
      <c r="E30" s="12" t="s">
        <v>301</v>
      </c>
      <c r="F30" s="16" t="n">
        <v>3</v>
      </c>
      <c r="G30" s="12" t="s">
        <v>432</v>
      </c>
      <c r="H30" s="12"/>
      <c r="I30" s="12"/>
      <c r="J30" s="12"/>
      <c r="K30" s="17" t="s">
        <v>298</v>
      </c>
    </row>
    <row r="31" customFormat="false" ht="15" hidden="false" customHeight="false" outlineLevel="0" collapsed="false">
      <c r="A31" s="12" t="n">
        <v>30</v>
      </c>
      <c r="B31" s="12" t="s">
        <v>49</v>
      </c>
      <c r="C31" s="12" t="s">
        <v>311</v>
      </c>
      <c r="D31" s="11" t="s">
        <v>431</v>
      </c>
      <c r="E31" s="12" t="s">
        <v>313</v>
      </c>
      <c r="F31" s="16" t="n">
        <v>3</v>
      </c>
      <c r="G31" s="12" t="s">
        <v>432</v>
      </c>
      <c r="H31" s="12"/>
      <c r="I31" s="12"/>
      <c r="J31" s="12"/>
      <c r="K31" s="17" t="s">
        <v>298</v>
      </c>
    </row>
    <row r="32" customFormat="false" ht="23.85" hidden="false" customHeight="false" outlineLevel="0" collapsed="false">
      <c r="A32" s="12" t="n">
        <v>31</v>
      </c>
      <c r="B32" s="12" t="s">
        <v>49</v>
      </c>
      <c r="C32" s="12" t="s">
        <v>311</v>
      </c>
      <c r="D32" s="11" t="s">
        <v>438</v>
      </c>
      <c r="E32" s="12" t="s">
        <v>313</v>
      </c>
      <c r="F32" s="16" t="n">
        <v>3</v>
      </c>
      <c r="G32" s="12" t="s">
        <v>439</v>
      </c>
      <c r="H32" s="12" t="s">
        <v>440</v>
      </c>
      <c r="I32" s="12" t="s">
        <v>441</v>
      </c>
      <c r="J32" s="12" t="s">
        <v>442</v>
      </c>
      <c r="K32" s="17" t="s">
        <v>298</v>
      </c>
    </row>
    <row r="33" customFormat="false" ht="15" hidden="false" customHeight="false" outlineLevel="0" collapsed="false">
      <c r="A33" s="12" t="n">
        <v>32</v>
      </c>
      <c r="B33" s="12" t="s">
        <v>49</v>
      </c>
      <c r="C33" s="12" t="s">
        <v>318</v>
      </c>
      <c r="D33" s="11" t="s">
        <v>431</v>
      </c>
      <c r="E33" s="12" t="s">
        <v>293</v>
      </c>
      <c r="F33" s="16" t="n">
        <v>3</v>
      </c>
      <c r="G33" s="12" t="s">
        <v>432</v>
      </c>
      <c r="H33" s="12"/>
      <c r="I33" s="12"/>
      <c r="J33" s="12"/>
      <c r="K33" s="17" t="s">
        <v>298</v>
      </c>
    </row>
    <row r="34" customFormat="false" ht="15" hidden="false" customHeight="false" outlineLevel="0" collapsed="false">
      <c r="A34" s="12" t="n">
        <v>33</v>
      </c>
      <c r="B34" s="12" t="s">
        <v>49</v>
      </c>
      <c r="C34" s="12" t="s">
        <v>332</v>
      </c>
      <c r="D34" s="11" t="s">
        <v>431</v>
      </c>
      <c r="E34" s="12" t="s">
        <v>293</v>
      </c>
      <c r="F34" s="16" t="n">
        <v>3</v>
      </c>
      <c r="G34" s="12" t="s">
        <v>432</v>
      </c>
      <c r="H34" s="12"/>
      <c r="I34" s="12"/>
      <c r="J34" s="12"/>
      <c r="K34" s="17" t="s">
        <v>298</v>
      </c>
    </row>
    <row r="35" customFormat="false" ht="15" hidden="false" customHeight="false" outlineLevel="0" collapsed="false">
      <c r="A35" s="12" t="n">
        <v>34</v>
      </c>
      <c r="B35" s="12" t="s">
        <v>49</v>
      </c>
      <c r="C35" s="12" t="s">
        <v>353</v>
      </c>
      <c r="D35" s="11" t="s">
        <v>431</v>
      </c>
      <c r="E35" s="12" t="s">
        <v>355</v>
      </c>
      <c r="F35" s="16" t="n">
        <v>3</v>
      </c>
      <c r="G35" s="12" t="s">
        <v>432</v>
      </c>
      <c r="H35" s="12"/>
      <c r="I35" s="12"/>
      <c r="J35" s="12"/>
      <c r="K35" s="17" t="s">
        <v>298</v>
      </c>
    </row>
    <row r="36" customFormat="false" ht="15" hidden="false" customHeight="false" outlineLevel="0" collapsed="false">
      <c r="A36" s="12" t="n">
        <v>35</v>
      </c>
      <c r="B36" s="12" t="s">
        <v>49</v>
      </c>
      <c r="C36" s="12" t="s">
        <v>360</v>
      </c>
      <c r="D36" s="11" t="s">
        <v>431</v>
      </c>
      <c r="E36" s="12" t="s">
        <v>362</v>
      </c>
      <c r="F36" s="16" t="n">
        <v>3</v>
      </c>
      <c r="G36" s="12" t="s">
        <v>432</v>
      </c>
      <c r="H36" s="12"/>
      <c r="I36" s="12"/>
      <c r="J36" s="12"/>
      <c r="K36" s="17" t="s">
        <v>298</v>
      </c>
    </row>
    <row r="37" customFormat="false" ht="46.25" hidden="false" customHeight="false" outlineLevel="0" collapsed="false">
      <c r="A37" s="12" t="n">
        <v>36</v>
      </c>
      <c r="B37" s="12" t="s">
        <v>57</v>
      </c>
      <c r="C37" s="12" t="s">
        <v>443</v>
      </c>
      <c r="D37" s="11" t="s">
        <v>300</v>
      </c>
      <c r="E37" s="12" t="s">
        <v>301</v>
      </c>
      <c r="F37" s="16" t="n">
        <v>1</v>
      </c>
      <c r="G37" s="12" t="s">
        <v>444</v>
      </c>
      <c r="H37" s="12" t="s">
        <v>445</v>
      </c>
      <c r="I37" s="12" t="s">
        <v>446</v>
      </c>
      <c r="J37" s="12" t="s">
        <v>447</v>
      </c>
      <c r="K37" s="17" t="s">
        <v>298</v>
      </c>
    </row>
    <row r="38" customFormat="false" ht="46.25" hidden="false" customHeight="false" outlineLevel="0" collapsed="false">
      <c r="A38" s="12" t="n">
        <v>37</v>
      </c>
      <c r="B38" s="12" t="s">
        <v>57</v>
      </c>
      <c r="C38" s="12" t="s">
        <v>448</v>
      </c>
      <c r="D38" s="11" t="s">
        <v>449</v>
      </c>
      <c r="E38" s="12" t="s">
        <v>293</v>
      </c>
      <c r="F38" s="16" t="n">
        <v>1</v>
      </c>
      <c r="G38" s="12" t="s">
        <v>450</v>
      </c>
      <c r="H38" s="12" t="s">
        <v>451</v>
      </c>
      <c r="I38" s="12" t="s">
        <v>452</v>
      </c>
      <c r="J38" s="12" t="s">
        <v>453</v>
      </c>
      <c r="K38" s="17" t="s">
        <v>298</v>
      </c>
    </row>
    <row r="39" customFormat="false" ht="35.05" hidden="false" customHeight="false" outlineLevel="0" collapsed="false">
      <c r="A39" s="12" t="n">
        <v>38</v>
      </c>
      <c r="B39" s="12" t="s">
        <v>57</v>
      </c>
      <c r="C39" s="12" t="s">
        <v>454</v>
      </c>
      <c r="D39" s="11" t="s">
        <v>326</v>
      </c>
      <c r="E39" s="12" t="s">
        <v>327</v>
      </c>
      <c r="F39" s="16" t="n">
        <v>1</v>
      </c>
      <c r="G39" s="12" t="s">
        <v>455</v>
      </c>
      <c r="H39" s="12" t="s">
        <v>456</v>
      </c>
      <c r="I39" s="12" t="s">
        <v>457</v>
      </c>
      <c r="J39" s="12"/>
      <c r="K39" s="17" t="s">
        <v>298</v>
      </c>
    </row>
    <row r="40" customFormat="false" ht="35.05" hidden="false" customHeight="false" outlineLevel="0" collapsed="false">
      <c r="A40" s="12" t="n">
        <v>39</v>
      </c>
      <c r="B40" s="12" t="s">
        <v>57</v>
      </c>
      <c r="C40" s="12" t="s">
        <v>458</v>
      </c>
      <c r="D40" s="11" t="s">
        <v>459</v>
      </c>
      <c r="E40" s="12" t="s">
        <v>293</v>
      </c>
      <c r="F40" s="16" t="n">
        <v>1</v>
      </c>
      <c r="G40" s="12" t="s">
        <v>460</v>
      </c>
      <c r="H40" s="12" t="s">
        <v>461</v>
      </c>
      <c r="I40" s="12" t="s">
        <v>462</v>
      </c>
      <c r="J40" s="12" t="s">
        <v>463</v>
      </c>
      <c r="K40" s="17" t="s">
        <v>298</v>
      </c>
    </row>
    <row r="41" customFormat="false" ht="35.05" hidden="false" customHeight="false" outlineLevel="0" collapsed="false">
      <c r="A41" s="12" t="n">
        <v>40</v>
      </c>
      <c r="B41" s="12" t="s">
        <v>57</v>
      </c>
      <c r="C41" s="12" t="s">
        <v>458</v>
      </c>
      <c r="D41" s="11" t="s">
        <v>464</v>
      </c>
      <c r="E41" s="12" t="s">
        <v>293</v>
      </c>
      <c r="F41" s="16" t="n">
        <v>1</v>
      </c>
      <c r="G41" s="12" t="s">
        <v>465</v>
      </c>
      <c r="H41" s="12" t="s">
        <v>466</v>
      </c>
      <c r="I41" s="12" t="s">
        <v>467</v>
      </c>
      <c r="J41" s="12" t="s">
        <v>468</v>
      </c>
      <c r="K41" s="17" t="s">
        <v>298</v>
      </c>
    </row>
    <row r="42" customFormat="false" ht="35.05" hidden="false" customHeight="false" outlineLevel="0" collapsed="false">
      <c r="A42" s="12" t="n">
        <v>41</v>
      </c>
      <c r="B42" s="12" t="s">
        <v>57</v>
      </c>
      <c r="C42" s="12" t="s">
        <v>458</v>
      </c>
      <c r="D42" s="11" t="s">
        <v>469</v>
      </c>
      <c r="E42" s="12" t="s">
        <v>293</v>
      </c>
      <c r="F42" s="16" t="n">
        <v>1</v>
      </c>
      <c r="G42" s="12" t="s">
        <v>470</v>
      </c>
      <c r="H42" s="12" t="s">
        <v>471</v>
      </c>
      <c r="I42" s="12" t="s">
        <v>472</v>
      </c>
      <c r="J42" s="12" t="s">
        <v>473</v>
      </c>
      <c r="K42" s="17" t="s">
        <v>298</v>
      </c>
    </row>
    <row r="43" customFormat="false" ht="35.05" hidden="false" customHeight="false" outlineLevel="0" collapsed="false">
      <c r="A43" s="12" t="n">
        <v>42</v>
      </c>
      <c r="B43" s="12" t="s">
        <v>57</v>
      </c>
      <c r="C43" s="12" t="s">
        <v>458</v>
      </c>
      <c r="D43" s="11" t="s">
        <v>474</v>
      </c>
      <c r="E43" s="12" t="s">
        <v>362</v>
      </c>
      <c r="F43" s="16" t="n">
        <v>1</v>
      </c>
      <c r="G43" s="12" t="s">
        <v>475</v>
      </c>
      <c r="H43" s="12" t="s">
        <v>476</v>
      </c>
      <c r="I43" s="12" t="s">
        <v>477</v>
      </c>
      <c r="J43" s="12" t="s">
        <v>478</v>
      </c>
      <c r="K43" s="17" t="s">
        <v>298</v>
      </c>
    </row>
    <row r="44" customFormat="false" ht="35.05" hidden="false" customHeight="false" outlineLevel="0" collapsed="false">
      <c r="A44" s="12" t="n">
        <v>43</v>
      </c>
      <c r="B44" s="12" t="s">
        <v>57</v>
      </c>
      <c r="C44" s="12" t="s">
        <v>458</v>
      </c>
      <c r="D44" s="11" t="s">
        <v>479</v>
      </c>
      <c r="E44" s="12" t="s">
        <v>320</v>
      </c>
      <c r="F44" s="16" t="n">
        <v>1</v>
      </c>
      <c r="G44" s="12" t="s">
        <v>480</v>
      </c>
      <c r="H44" s="12" t="s">
        <v>481</v>
      </c>
      <c r="I44" s="12" t="s">
        <v>482</v>
      </c>
      <c r="J44" s="12" t="s">
        <v>483</v>
      </c>
      <c r="K44" s="17" t="s">
        <v>298</v>
      </c>
    </row>
    <row r="45" customFormat="false" ht="35.05" hidden="false" customHeight="false" outlineLevel="0" collapsed="false">
      <c r="A45" s="12" t="n">
        <v>44</v>
      </c>
      <c r="B45" s="12" t="s">
        <v>57</v>
      </c>
      <c r="C45" s="12" t="s">
        <v>484</v>
      </c>
      <c r="D45" s="11" t="s">
        <v>354</v>
      </c>
      <c r="E45" s="12" t="s">
        <v>355</v>
      </c>
      <c r="F45" s="16" t="n">
        <v>1</v>
      </c>
      <c r="G45" s="12" t="s">
        <v>485</v>
      </c>
      <c r="H45" s="12" t="s">
        <v>486</v>
      </c>
      <c r="I45" s="12" t="s">
        <v>487</v>
      </c>
      <c r="J45" s="12"/>
      <c r="K45" s="17" t="s">
        <v>298</v>
      </c>
    </row>
    <row r="46" customFormat="false" ht="23.85" hidden="false" customHeight="false" outlineLevel="0" collapsed="false">
      <c r="A46" s="12" t="n">
        <v>45</v>
      </c>
      <c r="B46" s="12" t="s">
        <v>57</v>
      </c>
      <c r="C46" s="12" t="s">
        <v>488</v>
      </c>
      <c r="D46" s="11" t="s">
        <v>464</v>
      </c>
      <c r="E46" s="12" t="s">
        <v>373</v>
      </c>
      <c r="F46" s="16" t="n">
        <v>2</v>
      </c>
      <c r="G46" s="12" t="s">
        <v>489</v>
      </c>
      <c r="H46" s="12" t="s">
        <v>490</v>
      </c>
      <c r="I46" s="12" t="s">
        <v>491</v>
      </c>
      <c r="J46" s="12"/>
      <c r="K46" s="17" t="s">
        <v>298</v>
      </c>
    </row>
    <row r="47" customFormat="false" ht="57.45" hidden="false" customHeight="false" outlineLevel="0" collapsed="false">
      <c r="A47" s="12" t="n">
        <v>46</v>
      </c>
      <c r="B47" s="12" t="s">
        <v>57</v>
      </c>
      <c r="C47" s="12" t="s">
        <v>492</v>
      </c>
      <c r="D47" s="11" t="s">
        <v>312</v>
      </c>
      <c r="E47" s="12" t="s">
        <v>313</v>
      </c>
      <c r="F47" s="16" t="n">
        <v>2</v>
      </c>
      <c r="G47" s="12" t="s">
        <v>493</v>
      </c>
      <c r="H47" s="12" t="s">
        <v>494</v>
      </c>
      <c r="I47" s="12" t="s">
        <v>495</v>
      </c>
      <c r="J47" s="12" t="s">
        <v>496</v>
      </c>
      <c r="K47" s="17" t="s">
        <v>298</v>
      </c>
    </row>
    <row r="48" customFormat="false" ht="35.05" hidden="false" customHeight="false" outlineLevel="0" collapsed="false">
      <c r="A48" s="12" t="n">
        <v>47</v>
      </c>
      <c r="B48" s="12" t="s">
        <v>57</v>
      </c>
      <c r="C48" s="12" t="s">
        <v>458</v>
      </c>
      <c r="D48" s="11" t="s">
        <v>497</v>
      </c>
      <c r="E48" s="12" t="s">
        <v>293</v>
      </c>
      <c r="F48" s="16" t="n">
        <v>2</v>
      </c>
      <c r="G48" s="12" t="s">
        <v>498</v>
      </c>
      <c r="H48" s="12" t="s">
        <v>499</v>
      </c>
      <c r="I48" s="12" t="s">
        <v>500</v>
      </c>
      <c r="J48" s="12" t="s">
        <v>501</v>
      </c>
      <c r="K48" s="17" t="s">
        <v>298</v>
      </c>
    </row>
    <row r="49" customFormat="false" ht="35.05" hidden="false" customHeight="false" outlineLevel="0" collapsed="false">
      <c r="A49" s="12" t="n">
        <v>48</v>
      </c>
      <c r="B49" s="12" t="s">
        <v>57</v>
      </c>
      <c r="C49" s="12" t="s">
        <v>458</v>
      </c>
      <c r="D49" s="11" t="s">
        <v>502</v>
      </c>
      <c r="E49" s="12" t="s">
        <v>320</v>
      </c>
      <c r="F49" s="16" t="n">
        <v>2</v>
      </c>
      <c r="G49" s="12" t="s">
        <v>503</v>
      </c>
      <c r="H49" s="12" t="s">
        <v>504</v>
      </c>
      <c r="I49" s="12" t="s">
        <v>505</v>
      </c>
      <c r="J49" s="12" t="s">
        <v>506</v>
      </c>
      <c r="K49" s="17" t="s">
        <v>298</v>
      </c>
    </row>
    <row r="50" customFormat="false" ht="23.85" hidden="false" customHeight="false" outlineLevel="0" collapsed="false">
      <c r="A50" s="12" t="n">
        <v>49</v>
      </c>
      <c r="B50" s="12" t="s">
        <v>57</v>
      </c>
      <c r="C50" s="12" t="s">
        <v>507</v>
      </c>
      <c r="D50" s="11" t="s">
        <v>361</v>
      </c>
      <c r="E50" s="12" t="s">
        <v>362</v>
      </c>
      <c r="F50" s="16" t="n">
        <v>2</v>
      </c>
      <c r="G50" s="12" t="s">
        <v>508</v>
      </c>
      <c r="H50" s="12" t="s">
        <v>509</v>
      </c>
      <c r="I50" s="12" t="s">
        <v>510</v>
      </c>
      <c r="J50" s="12" t="s">
        <v>511</v>
      </c>
      <c r="K50" s="17" t="s">
        <v>298</v>
      </c>
    </row>
    <row r="51" customFormat="false" ht="35.05" hidden="false" customHeight="false" outlineLevel="0" collapsed="false">
      <c r="A51" s="12" t="n">
        <v>50</v>
      </c>
      <c r="B51" s="12" t="s">
        <v>57</v>
      </c>
      <c r="C51" s="12" t="s">
        <v>512</v>
      </c>
      <c r="D51" s="11" t="s">
        <v>383</v>
      </c>
      <c r="E51" s="12" t="s">
        <v>384</v>
      </c>
      <c r="F51" s="16" t="n">
        <v>2</v>
      </c>
      <c r="G51" s="12" t="s">
        <v>513</v>
      </c>
      <c r="H51" s="12" t="s">
        <v>514</v>
      </c>
      <c r="I51" s="12" t="s">
        <v>515</v>
      </c>
      <c r="J51" s="12" t="s">
        <v>516</v>
      </c>
      <c r="K51" s="17" t="s">
        <v>298</v>
      </c>
    </row>
    <row r="52" customFormat="false" ht="57.45" hidden="false" customHeight="false" outlineLevel="0" collapsed="false">
      <c r="A52" s="12" t="n">
        <v>51</v>
      </c>
      <c r="B52" s="12" t="s">
        <v>57</v>
      </c>
      <c r="C52" s="12" t="s">
        <v>512</v>
      </c>
      <c r="D52" s="11" t="s">
        <v>389</v>
      </c>
      <c r="E52" s="12" t="s">
        <v>384</v>
      </c>
      <c r="F52" s="16" t="n">
        <v>2</v>
      </c>
      <c r="G52" s="12" t="s">
        <v>517</v>
      </c>
      <c r="H52" s="12" t="s">
        <v>518</v>
      </c>
      <c r="I52" s="12" t="s">
        <v>519</v>
      </c>
      <c r="J52" s="12" t="s">
        <v>520</v>
      </c>
      <c r="K52" s="17" t="s">
        <v>298</v>
      </c>
    </row>
    <row r="53" customFormat="false" ht="46.25" hidden="false" customHeight="false" outlineLevel="0" collapsed="false">
      <c r="A53" s="12" t="n">
        <v>52</v>
      </c>
      <c r="B53" s="12" t="s">
        <v>57</v>
      </c>
      <c r="C53" s="12" t="s">
        <v>512</v>
      </c>
      <c r="D53" s="11" t="s">
        <v>521</v>
      </c>
      <c r="E53" s="12" t="s">
        <v>384</v>
      </c>
      <c r="F53" s="16" t="n">
        <v>2</v>
      </c>
      <c r="G53" s="12" t="s">
        <v>522</v>
      </c>
      <c r="H53" s="12" t="s">
        <v>523</v>
      </c>
      <c r="I53" s="12" t="s">
        <v>524</v>
      </c>
      <c r="J53" s="12" t="s">
        <v>525</v>
      </c>
      <c r="K53" s="17" t="s">
        <v>298</v>
      </c>
    </row>
    <row r="54" customFormat="false" ht="35.05" hidden="false" customHeight="false" outlineLevel="0" collapsed="false">
      <c r="A54" s="12" t="n">
        <v>53</v>
      </c>
      <c r="B54" s="12" t="s">
        <v>57</v>
      </c>
      <c r="C54" s="12" t="s">
        <v>60</v>
      </c>
      <c r="D54" s="11" t="s">
        <v>404</v>
      </c>
      <c r="E54" s="12" t="s">
        <v>313</v>
      </c>
      <c r="F54" s="16" t="n">
        <v>3</v>
      </c>
      <c r="G54" s="12" t="s">
        <v>526</v>
      </c>
      <c r="H54" s="12" t="s">
        <v>527</v>
      </c>
      <c r="I54" s="12" t="s">
        <v>528</v>
      </c>
      <c r="J54" s="12" t="s">
        <v>529</v>
      </c>
      <c r="K54" s="17" t="s">
        <v>298</v>
      </c>
    </row>
    <row r="55" customFormat="false" ht="23.85" hidden="false" customHeight="false" outlineLevel="0" collapsed="false">
      <c r="A55" s="12" t="n">
        <v>54</v>
      </c>
      <c r="B55" s="12" t="s">
        <v>57</v>
      </c>
      <c r="C55" s="12" t="s">
        <v>60</v>
      </c>
      <c r="D55" s="11" t="s">
        <v>409</v>
      </c>
      <c r="E55" s="12" t="s">
        <v>410</v>
      </c>
      <c r="F55" s="16" t="n">
        <v>3</v>
      </c>
      <c r="G55" s="12" t="s">
        <v>530</v>
      </c>
      <c r="H55" s="12"/>
      <c r="I55" s="12"/>
      <c r="J55" s="12"/>
      <c r="K55" s="17" t="s">
        <v>298</v>
      </c>
    </row>
    <row r="56" customFormat="false" ht="23.85" hidden="false" customHeight="false" outlineLevel="0" collapsed="false">
      <c r="A56" s="12" t="n">
        <v>55</v>
      </c>
      <c r="B56" s="12" t="s">
        <v>57</v>
      </c>
      <c r="C56" s="12" t="s">
        <v>60</v>
      </c>
      <c r="D56" s="11" t="s">
        <v>412</v>
      </c>
      <c r="E56" s="12" t="s">
        <v>410</v>
      </c>
      <c r="F56" s="16" t="n">
        <v>3</v>
      </c>
      <c r="G56" s="12" t="s">
        <v>531</v>
      </c>
      <c r="H56" s="12"/>
      <c r="I56" s="12" t="s">
        <v>532</v>
      </c>
      <c r="J56" s="12"/>
      <c r="K56" s="17" t="s">
        <v>298</v>
      </c>
    </row>
    <row r="57" customFormat="false" ht="35.05" hidden="false" customHeight="false" outlineLevel="0" collapsed="false">
      <c r="A57" s="12" t="n">
        <v>56</v>
      </c>
      <c r="B57" s="12" t="s">
        <v>57</v>
      </c>
      <c r="C57" s="12" t="s">
        <v>60</v>
      </c>
      <c r="D57" s="11" t="s">
        <v>414</v>
      </c>
      <c r="E57" s="12" t="s">
        <v>384</v>
      </c>
      <c r="F57" s="16" t="n">
        <v>3</v>
      </c>
      <c r="G57" s="12" t="s">
        <v>533</v>
      </c>
      <c r="H57" s="12" t="s">
        <v>534</v>
      </c>
      <c r="I57" s="12" t="s">
        <v>535</v>
      </c>
      <c r="J57" s="12"/>
      <c r="K57" s="17" t="s">
        <v>298</v>
      </c>
    </row>
    <row r="58" customFormat="false" ht="23.85" hidden="false" customHeight="false" outlineLevel="0" collapsed="false">
      <c r="A58" s="12" t="n">
        <v>57</v>
      </c>
      <c r="B58" s="12" t="s">
        <v>57</v>
      </c>
      <c r="C58" s="12" t="s">
        <v>60</v>
      </c>
      <c r="D58" s="11" t="s">
        <v>418</v>
      </c>
      <c r="E58" s="12" t="s">
        <v>313</v>
      </c>
      <c r="F58" s="16" t="n">
        <v>3</v>
      </c>
      <c r="G58" s="12" t="s">
        <v>536</v>
      </c>
      <c r="H58" s="12" t="s">
        <v>537</v>
      </c>
      <c r="I58" s="12" t="s">
        <v>538</v>
      </c>
      <c r="J58" s="12"/>
      <c r="K58" s="17" t="s">
        <v>298</v>
      </c>
    </row>
    <row r="59" customFormat="false" ht="23.85" hidden="false" customHeight="false" outlineLevel="0" collapsed="false">
      <c r="A59" s="12" t="n">
        <v>58</v>
      </c>
      <c r="B59" s="12" t="s">
        <v>57</v>
      </c>
      <c r="C59" s="12" t="s">
        <v>60</v>
      </c>
      <c r="D59" s="11" t="s">
        <v>422</v>
      </c>
      <c r="E59" s="12" t="s">
        <v>373</v>
      </c>
      <c r="F59" s="16" t="n">
        <v>3</v>
      </c>
      <c r="G59" s="12" t="s">
        <v>539</v>
      </c>
      <c r="H59" s="12" t="s">
        <v>540</v>
      </c>
      <c r="I59" s="12" t="s">
        <v>541</v>
      </c>
      <c r="J59" s="12"/>
      <c r="K59" s="17" t="s">
        <v>298</v>
      </c>
    </row>
    <row r="60" customFormat="false" ht="15" hidden="false" customHeight="false" outlineLevel="0" collapsed="false">
      <c r="A60" s="12" t="n">
        <v>59</v>
      </c>
      <c r="B60" s="12" t="s">
        <v>57</v>
      </c>
      <c r="C60" s="12" t="s">
        <v>443</v>
      </c>
      <c r="D60" s="11" t="s">
        <v>431</v>
      </c>
      <c r="E60" s="12" t="s">
        <v>373</v>
      </c>
      <c r="F60" s="16" t="n">
        <v>3</v>
      </c>
      <c r="G60" s="12" t="s">
        <v>542</v>
      </c>
      <c r="H60" s="12"/>
      <c r="I60" s="12"/>
      <c r="J60" s="12"/>
      <c r="K60" s="17" t="s">
        <v>298</v>
      </c>
    </row>
    <row r="61" customFormat="false" ht="15" hidden="false" customHeight="false" outlineLevel="0" collapsed="false">
      <c r="A61" s="12" t="n">
        <v>60</v>
      </c>
      <c r="B61" s="12" t="s">
        <v>57</v>
      </c>
      <c r="C61" s="12" t="s">
        <v>492</v>
      </c>
      <c r="D61" s="11" t="s">
        <v>431</v>
      </c>
      <c r="E61" s="12" t="s">
        <v>373</v>
      </c>
      <c r="F61" s="16" t="n">
        <v>3</v>
      </c>
      <c r="G61" s="12" t="s">
        <v>543</v>
      </c>
      <c r="H61" s="12"/>
      <c r="I61" s="12"/>
      <c r="J61" s="12"/>
      <c r="K61" s="17" t="s">
        <v>298</v>
      </c>
    </row>
    <row r="62" customFormat="false" ht="35.05" hidden="false" customHeight="false" outlineLevel="0" collapsed="false">
      <c r="A62" s="12" t="n">
        <v>61</v>
      </c>
      <c r="B62" s="12" t="s">
        <v>57</v>
      </c>
      <c r="C62" s="12" t="s">
        <v>492</v>
      </c>
      <c r="D62" s="11" t="s">
        <v>438</v>
      </c>
      <c r="E62" s="12" t="s">
        <v>313</v>
      </c>
      <c r="F62" s="16" t="n">
        <v>3</v>
      </c>
      <c r="G62" s="12" t="s">
        <v>544</v>
      </c>
      <c r="H62" s="12" t="s">
        <v>545</v>
      </c>
      <c r="I62" s="12" t="s">
        <v>546</v>
      </c>
      <c r="J62" s="12" t="s">
        <v>547</v>
      </c>
      <c r="K62" s="17" t="s">
        <v>298</v>
      </c>
    </row>
    <row r="63" customFormat="false" ht="15" hidden="false" customHeight="false" outlineLevel="0" collapsed="false">
      <c r="A63" s="12" t="n">
        <v>62</v>
      </c>
      <c r="B63" s="12" t="s">
        <v>57</v>
      </c>
      <c r="C63" s="12" t="s">
        <v>448</v>
      </c>
      <c r="D63" s="11" t="s">
        <v>431</v>
      </c>
      <c r="E63" s="12" t="s">
        <v>373</v>
      </c>
      <c r="F63" s="16" t="n">
        <v>3</v>
      </c>
      <c r="G63" s="12" t="s">
        <v>548</v>
      </c>
      <c r="H63" s="12"/>
      <c r="I63" s="12"/>
      <c r="J63" s="12"/>
      <c r="K63" s="17" t="s">
        <v>298</v>
      </c>
    </row>
    <row r="64" customFormat="false" ht="15" hidden="false" customHeight="false" outlineLevel="0" collapsed="false">
      <c r="A64" s="12" t="n">
        <v>63</v>
      </c>
      <c r="B64" s="12" t="s">
        <v>57</v>
      </c>
      <c r="C64" s="12" t="s">
        <v>458</v>
      </c>
      <c r="D64" s="11" t="s">
        <v>431</v>
      </c>
      <c r="E64" s="12" t="s">
        <v>373</v>
      </c>
      <c r="F64" s="16" t="n">
        <v>3</v>
      </c>
      <c r="G64" s="12" t="s">
        <v>549</v>
      </c>
      <c r="H64" s="12"/>
      <c r="I64" s="12"/>
      <c r="J64" s="12"/>
      <c r="K64" s="17" t="s">
        <v>298</v>
      </c>
    </row>
    <row r="65" customFormat="false" ht="15" hidden="false" customHeight="false" outlineLevel="0" collapsed="false">
      <c r="A65" s="12" t="n">
        <v>64</v>
      </c>
      <c r="B65" s="12" t="s">
        <v>57</v>
      </c>
      <c r="C65" s="12" t="s">
        <v>484</v>
      </c>
      <c r="D65" s="11" t="s">
        <v>431</v>
      </c>
      <c r="E65" s="12" t="s">
        <v>373</v>
      </c>
      <c r="F65" s="16" t="n">
        <v>3</v>
      </c>
      <c r="G65" s="12" t="s">
        <v>550</v>
      </c>
      <c r="H65" s="12"/>
      <c r="I65" s="12"/>
      <c r="J65" s="12"/>
      <c r="K65" s="17" t="s">
        <v>298</v>
      </c>
    </row>
    <row r="66" customFormat="false" ht="15" hidden="false" customHeight="false" outlineLevel="0" collapsed="false">
      <c r="A66" s="12" t="n">
        <v>65</v>
      </c>
      <c r="B66" s="12" t="s">
        <v>57</v>
      </c>
      <c r="C66" s="12" t="s">
        <v>507</v>
      </c>
      <c r="D66" s="11" t="s">
        <v>431</v>
      </c>
      <c r="E66" s="12" t="s">
        <v>373</v>
      </c>
      <c r="F66" s="16" t="n">
        <v>3</v>
      </c>
      <c r="G66" s="12" t="s">
        <v>551</v>
      </c>
      <c r="H66" s="12"/>
      <c r="I66" s="12"/>
      <c r="J66" s="12"/>
      <c r="K66" s="17" t="s">
        <v>298</v>
      </c>
    </row>
    <row r="67" customFormat="false" ht="35.05" hidden="false" customHeight="false" outlineLevel="0" collapsed="false">
      <c r="A67" s="12" t="n">
        <v>66</v>
      </c>
      <c r="B67" s="12" t="s">
        <v>64</v>
      </c>
      <c r="C67" s="12" t="s">
        <v>552</v>
      </c>
      <c r="D67" s="11" t="s">
        <v>553</v>
      </c>
      <c r="E67" s="12" t="s">
        <v>293</v>
      </c>
      <c r="F67" s="16" t="n">
        <v>1</v>
      </c>
      <c r="G67" s="12" t="s">
        <v>554</v>
      </c>
      <c r="H67" s="12" t="s">
        <v>555</v>
      </c>
      <c r="I67" s="12" t="s">
        <v>556</v>
      </c>
      <c r="J67" s="12" t="s">
        <v>557</v>
      </c>
      <c r="K67" s="17" t="s">
        <v>298</v>
      </c>
    </row>
    <row r="68" customFormat="false" ht="46.25" hidden="false" customHeight="false" outlineLevel="0" collapsed="false">
      <c r="A68" s="12" t="n">
        <v>67</v>
      </c>
      <c r="B68" s="12" t="s">
        <v>64</v>
      </c>
      <c r="C68" s="12" t="s">
        <v>558</v>
      </c>
      <c r="D68" s="11" t="s">
        <v>300</v>
      </c>
      <c r="E68" s="12" t="s">
        <v>301</v>
      </c>
      <c r="F68" s="16" t="n">
        <v>1</v>
      </c>
      <c r="G68" s="12" t="s">
        <v>559</v>
      </c>
      <c r="H68" s="12" t="s">
        <v>560</v>
      </c>
      <c r="I68" s="12" t="s">
        <v>561</v>
      </c>
      <c r="J68" s="12" t="s">
        <v>562</v>
      </c>
      <c r="K68" s="17" t="s">
        <v>298</v>
      </c>
    </row>
    <row r="69" customFormat="false" ht="35.05" hidden="false" customHeight="false" outlineLevel="0" collapsed="false">
      <c r="A69" s="12" t="n">
        <v>68</v>
      </c>
      <c r="B69" s="12" t="s">
        <v>64</v>
      </c>
      <c r="C69" s="12" t="s">
        <v>563</v>
      </c>
      <c r="D69" s="11" t="s">
        <v>564</v>
      </c>
      <c r="E69" s="12" t="s">
        <v>293</v>
      </c>
      <c r="F69" s="16" t="n">
        <v>1</v>
      </c>
      <c r="G69" s="12" t="s">
        <v>565</v>
      </c>
      <c r="H69" s="12" t="s">
        <v>566</v>
      </c>
      <c r="I69" s="12" t="s">
        <v>567</v>
      </c>
      <c r="J69" s="12" t="s">
        <v>568</v>
      </c>
      <c r="K69" s="17" t="s">
        <v>298</v>
      </c>
    </row>
    <row r="70" customFormat="false" ht="23.85" hidden="false" customHeight="false" outlineLevel="0" collapsed="false">
      <c r="A70" s="12" t="n">
        <v>69</v>
      </c>
      <c r="B70" s="12" t="s">
        <v>64</v>
      </c>
      <c r="C70" s="12" t="s">
        <v>569</v>
      </c>
      <c r="D70" s="11" t="s">
        <v>326</v>
      </c>
      <c r="E70" s="12" t="s">
        <v>327</v>
      </c>
      <c r="F70" s="16" t="n">
        <v>1</v>
      </c>
      <c r="G70" s="12" t="s">
        <v>570</v>
      </c>
      <c r="H70" s="12" t="s">
        <v>571</v>
      </c>
      <c r="I70" s="12" t="s">
        <v>572</v>
      </c>
      <c r="J70" s="12"/>
      <c r="K70" s="17" t="s">
        <v>298</v>
      </c>
    </row>
    <row r="71" customFormat="false" ht="46.25" hidden="false" customHeight="false" outlineLevel="0" collapsed="false">
      <c r="A71" s="12" t="n">
        <v>70</v>
      </c>
      <c r="B71" s="12" t="s">
        <v>64</v>
      </c>
      <c r="C71" s="12" t="s">
        <v>573</v>
      </c>
      <c r="D71" s="11" t="s">
        <v>319</v>
      </c>
      <c r="E71" s="12" t="s">
        <v>320</v>
      </c>
      <c r="F71" s="16" t="n">
        <v>1</v>
      </c>
      <c r="G71" s="12" t="s">
        <v>574</v>
      </c>
      <c r="H71" s="12" t="s">
        <v>575</v>
      </c>
      <c r="I71" s="12" t="s">
        <v>576</v>
      </c>
      <c r="J71" s="12" t="s">
        <v>577</v>
      </c>
      <c r="K71" s="17" t="s">
        <v>298</v>
      </c>
    </row>
    <row r="72" customFormat="false" ht="35.05" hidden="false" customHeight="false" outlineLevel="0" collapsed="false">
      <c r="A72" s="12" t="n">
        <v>71</v>
      </c>
      <c r="B72" s="12" t="s">
        <v>64</v>
      </c>
      <c r="C72" s="12" t="s">
        <v>578</v>
      </c>
      <c r="D72" s="11" t="s">
        <v>354</v>
      </c>
      <c r="E72" s="12" t="s">
        <v>355</v>
      </c>
      <c r="F72" s="16" t="n">
        <v>1</v>
      </c>
      <c r="G72" s="12" t="s">
        <v>579</v>
      </c>
      <c r="H72" s="12" t="s">
        <v>580</v>
      </c>
      <c r="I72" s="12" t="s">
        <v>581</v>
      </c>
      <c r="J72" s="12"/>
      <c r="K72" s="17" t="s">
        <v>298</v>
      </c>
    </row>
    <row r="73" customFormat="false" ht="23.85" hidden="false" customHeight="false" outlineLevel="0" collapsed="false">
      <c r="A73" s="12" t="n">
        <v>72</v>
      </c>
      <c r="B73" s="12" t="s">
        <v>64</v>
      </c>
      <c r="C73" s="12" t="s">
        <v>552</v>
      </c>
      <c r="D73" s="11" t="s">
        <v>582</v>
      </c>
      <c r="E73" s="12" t="s">
        <v>293</v>
      </c>
      <c r="F73" s="16" t="n">
        <v>2</v>
      </c>
      <c r="G73" s="12" t="s">
        <v>583</v>
      </c>
      <c r="H73" s="12" t="s">
        <v>584</v>
      </c>
      <c r="I73" s="12" t="s">
        <v>585</v>
      </c>
      <c r="J73" s="12" t="s">
        <v>586</v>
      </c>
      <c r="K73" s="17" t="s">
        <v>298</v>
      </c>
    </row>
    <row r="74" customFormat="false" ht="35.05" hidden="false" customHeight="false" outlineLevel="0" collapsed="false">
      <c r="A74" s="12" t="n">
        <v>73</v>
      </c>
      <c r="B74" s="12" t="s">
        <v>64</v>
      </c>
      <c r="C74" s="12" t="s">
        <v>552</v>
      </c>
      <c r="D74" s="11" t="s">
        <v>587</v>
      </c>
      <c r="E74" s="12" t="s">
        <v>293</v>
      </c>
      <c r="F74" s="16" t="n">
        <v>2</v>
      </c>
      <c r="G74" s="12" t="s">
        <v>588</v>
      </c>
      <c r="H74" s="12" t="s">
        <v>589</v>
      </c>
      <c r="I74" s="12" t="s">
        <v>585</v>
      </c>
      <c r="J74" s="12" t="s">
        <v>590</v>
      </c>
      <c r="K74" s="17" t="s">
        <v>298</v>
      </c>
    </row>
    <row r="75" customFormat="false" ht="35.05" hidden="false" customHeight="false" outlineLevel="0" collapsed="false">
      <c r="A75" s="12" t="n">
        <v>74</v>
      </c>
      <c r="B75" s="12" t="s">
        <v>64</v>
      </c>
      <c r="C75" s="12" t="s">
        <v>552</v>
      </c>
      <c r="D75" s="11" t="s">
        <v>591</v>
      </c>
      <c r="E75" s="12" t="s">
        <v>293</v>
      </c>
      <c r="F75" s="16" t="n">
        <v>2</v>
      </c>
      <c r="G75" s="12" t="s">
        <v>592</v>
      </c>
      <c r="H75" s="12" t="s">
        <v>593</v>
      </c>
      <c r="I75" s="12" t="s">
        <v>585</v>
      </c>
      <c r="J75" s="12" t="s">
        <v>594</v>
      </c>
      <c r="K75" s="17" t="s">
        <v>298</v>
      </c>
    </row>
    <row r="76" customFormat="false" ht="46.25" hidden="false" customHeight="false" outlineLevel="0" collapsed="false">
      <c r="A76" s="12" t="n">
        <v>75</v>
      </c>
      <c r="B76" s="12" t="s">
        <v>64</v>
      </c>
      <c r="C76" s="12" t="s">
        <v>595</v>
      </c>
      <c r="D76" s="11" t="s">
        <v>312</v>
      </c>
      <c r="E76" s="12" t="s">
        <v>313</v>
      </c>
      <c r="F76" s="16" t="n">
        <v>2</v>
      </c>
      <c r="G76" s="12" t="s">
        <v>596</v>
      </c>
      <c r="H76" s="12" t="s">
        <v>597</v>
      </c>
      <c r="I76" s="12" t="s">
        <v>598</v>
      </c>
      <c r="J76" s="12" t="s">
        <v>599</v>
      </c>
      <c r="K76" s="17" t="s">
        <v>298</v>
      </c>
    </row>
    <row r="77" customFormat="false" ht="35.05" hidden="false" customHeight="false" outlineLevel="0" collapsed="false">
      <c r="A77" s="12" t="n">
        <v>76</v>
      </c>
      <c r="B77" s="12" t="s">
        <v>64</v>
      </c>
      <c r="C77" s="12" t="s">
        <v>563</v>
      </c>
      <c r="D77" s="11" t="s">
        <v>600</v>
      </c>
      <c r="E77" s="12" t="s">
        <v>293</v>
      </c>
      <c r="F77" s="16" t="n">
        <v>2</v>
      </c>
      <c r="G77" s="12" t="s">
        <v>601</v>
      </c>
      <c r="H77" s="12" t="s">
        <v>602</v>
      </c>
      <c r="I77" s="12" t="s">
        <v>603</v>
      </c>
      <c r="J77" s="12" t="s">
        <v>604</v>
      </c>
      <c r="K77" s="17" t="s">
        <v>298</v>
      </c>
    </row>
    <row r="78" customFormat="false" ht="35.05" hidden="false" customHeight="false" outlineLevel="0" collapsed="false">
      <c r="A78" s="12" t="n">
        <v>77</v>
      </c>
      <c r="B78" s="12" t="s">
        <v>64</v>
      </c>
      <c r="C78" s="12" t="s">
        <v>605</v>
      </c>
      <c r="D78" s="11" t="s">
        <v>361</v>
      </c>
      <c r="E78" s="12" t="s">
        <v>362</v>
      </c>
      <c r="F78" s="16" t="n">
        <v>2</v>
      </c>
      <c r="G78" s="12" t="s">
        <v>606</v>
      </c>
      <c r="H78" s="12" t="s">
        <v>607</v>
      </c>
      <c r="I78" s="12" t="s">
        <v>510</v>
      </c>
      <c r="J78" s="12" t="s">
        <v>608</v>
      </c>
      <c r="K78" s="17" t="s">
        <v>298</v>
      </c>
    </row>
    <row r="79" customFormat="false" ht="35.05" hidden="false" customHeight="false" outlineLevel="0" collapsed="false">
      <c r="A79" s="12" t="n">
        <v>78</v>
      </c>
      <c r="B79" s="12" t="s">
        <v>64</v>
      </c>
      <c r="C79" s="12" t="s">
        <v>609</v>
      </c>
      <c r="D79" s="11" t="s">
        <v>383</v>
      </c>
      <c r="E79" s="12" t="s">
        <v>384</v>
      </c>
      <c r="F79" s="16" t="n">
        <v>2</v>
      </c>
      <c r="G79" s="12" t="s">
        <v>610</v>
      </c>
      <c r="H79" s="12" t="s">
        <v>611</v>
      </c>
      <c r="I79" s="12" t="s">
        <v>612</v>
      </c>
      <c r="J79" s="12" t="s">
        <v>613</v>
      </c>
      <c r="K79" s="17" t="s">
        <v>298</v>
      </c>
    </row>
    <row r="80" customFormat="false" ht="23.85" hidden="false" customHeight="false" outlineLevel="0" collapsed="false">
      <c r="A80" s="12" t="n">
        <v>79</v>
      </c>
      <c r="B80" s="12" t="s">
        <v>64</v>
      </c>
      <c r="C80" s="12" t="s">
        <v>609</v>
      </c>
      <c r="D80" s="11" t="s">
        <v>614</v>
      </c>
      <c r="E80" s="12" t="s">
        <v>384</v>
      </c>
      <c r="F80" s="16" t="n">
        <v>2</v>
      </c>
      <c r="G80" s="12" t="s">
        <v>615</v>
      </c>
      <c r="H80" s="12" t="s">
        <v>616</v>
      </c>
      <c r="I80" s="12" t="s">
        <v>617</v>
      </c>
      <c r="J80" s="12" t="s">
        <v>618</v>
      </c>
      <c r="K80" s="17" t="s">
        <v>298</v>
      </c>
    </row>
    <row r="81" customFormat="false" ht="46.25" hidden="false" customHeight="false" outlineLevel="0" collapsed="false">
      <c r="A81" s="12" t="n">
        <v>80</v>
      </c>
      <c r="B81" s="12" t="s">
        <v>64</v>
      </c>
      <c r="C81" s="12" t="s">
        <v>609</v>
      </c>
      <c r="D81" s="11" t="s">
        <v>389</v>
      </c>
      <c r="E81" s="12" t="s">
        <v>384</v>
      </c>
      <c r="F81" s="16" t="n">
        <v>2</v>
      </c>
      <c r="G81" s="12" t="s">
        <v>619</v>
      </c>
      <c r="H81" s="12" t="s">
        <v>620</v>
      </c>
      <c r="I81" s="12" t="s">
        <v>621</v>
      </c>
      <c r="J81" s="12" t="s">
        <v>622</v>
      </c>
      <c r="K81" s="17" t="s">
        <v>298</v>
      </c>
    </row>
    <row r="82" customFormat="false" ht="35.05" hidden="false" customHeight="false" outlineLevel="0" collapsed="false">
      <c r="A82" s="12" t="n">
        <v>81</v>
      </c>
      <c r="B82" s="12" t="s">
        <v>64</v>
      </c>
      <c r="C82" s="12" t="s">
        <v>67</v>
      </c>
      <c r="D82" s="11" t="s">
        <v>404</v>
      </c>
      <c r="E82" s="12" t="s">
        <v>313</v>
      </c>
      <c r="F82" s="16" t="n">
        <v>3</v>
      </c>
      <c r="G82" s="12" t="s">
        <v>623</v>
      </c>
      <c r="H82" s="12" t="s">
        <v>527</v>
      </c>
      <c r="I82" s="12" t="s">
        <v>528</v>
      </c>
      <c r="J82" s="12" t="s">
        <v>529</v>
      </c>
      <c r="K82" s="17" t="s">
        <v>298</v>
      </c>
    </row>
    <row r="83" customFormat="false" ht="23.85" hidden="false" customHeight="false" outlineLevel="0" collapsed="false">
      <c r="A83" s="12" t="n">
        <v>82</v>
      </c>
      <c r="B83" s="12" t="s">
        <v>64</v>
      </c>
      <c r="C83" s="12" t="s">
        <v>67</v>
      </c>
      <c r="D83" s="11" t="s">
        <v>409</v>
      </c>
      <c r="E83" s="12" t="s">
        <v>410</v>
      </c>
      <c r="F83" s="16" t="n">
        <v>3</v>
      </c>
      <c r="G83" s="12" t="s">
        <v>624</v>
      </c>
      <c r="H83" s="12"/>
      <c r="I83" s="12"/>
      <c r="J83" s="12"/>
      <c r="K83" s="17" t="s">
        <v>298</v>
      </c>
    </row>
    <row r="84" customFormat="false" ht="23.85" hidden="false" customHeight="false" outlineLevel="0" collapsed="false">
      <c r="A84" s="12" t="n">
        <v>83</v>
      </c>
      <c r="B84" s="12" t="s">
        <v>64</v>
      </c>
      <c r="C84" s="12" t="s">
        <v>67</v>
      </c>
      <c r="D84" s="11" t="s">
        <v>412</v>
      </c>
      <c r="E84" s="12" t="s">
        <v>410</v>
      </c>
      <c r="F84" s="16" t="n">
        <v>3</v>
      </c>
      <c r="G84" s="12" t="s">
        <v>625</v>
      </c>
      <c r="H84" s="12"/>
      <c r="I84" s="12" t="s">
        <v>532</v>
      </c>
      <c r="J84" s="12"/>
      <c r="K84" s="17" t="s">
        <v>298</v>
      </c>
    </row>
    <row r="85" customFormat="false" ht="23.85" hidden="false" customHeight="false" outlineLevel="0" collapsed="false">
      <c r="A85" s="12" t="n">
        <v>84</v>
      </c>
      <c r="B85" s="12" t="s">
        <v>64</v>
      </c>
      <c r="C85" s="12" t="s">
        <v>67</v>
      </c>
      <c r="D85" s="11" t="s">
        <v>414</v>
      </c>
      <c r="E85" s="12" t="s">
        <v>384</v>
      </c>
      <c r="F85" s="16" t="n">
        <v>3</v>
      </c>
      <c r="G85" s="12" t="s">
        <v>626</v>
      </c>
      <c r="H85" s="12" t="s">
        <v>534</v>
      </c>
      <c r="I85" s="12" t="s">
        <v>535</v>
      </c>
      <c r="J85" s="12"/>
      <c r="K85" s="17" t="s">
        <v>298</v>
      </c>
    </row>
    <row r="86" customFormat="false" ht="23.85" hidden="false" customHeight="false" outlineLevel="0" collapsed="false">
      <c r="A86" s="12" t="n">
        <v>85</v>
      </c>
      <c r="B86" s="12" t="s">
        <v>64</v>
      </c>
      <c r="C86" s="12" t="s">
        <v>67</v>
      </c>
      <c r="D86" s="11" t="s">
        <v>418</v>
      </c>
      <c r="E86" s="12" t="s">
        <v>313</v>
      </c>
      <c r="F86" s="16" t="n">
        <v>3</v>
      </c>
      <c r="G86" s="12" t="s">
        <v>536</v>
      </c>
      <c r="H86" s="12" t="s">
        <v>537</v>
      </c>
      <c r="I86" s="12" t="s">
        <v>538</v>
      </c>
      <c r="J86" s="12"/>
      <c r="K86" s="17" t="s">
        <v>298</v>
      </c>
    </row>
    <row r="87" customFormat="false" ht="23.85" hidden="false" customHeight="false" outlineLevel="0" collapsed="false">
      <c r="A87" s="12" t="n">
        <v>86</v>
      </c>
      <c r="B87" s="12" t="s">
        <v>64</v>
      </c>
      <c r="C87" s="12" t="s">
        <v>67</v>
      </c>
      <c r="D87" s="11" t="s">
        <v>422</v>
      </c>
      <c r="E87" s="12" t="s">
        <v>373</v>
      </c>
      <c r="F87" s="16" t="n">
        <v>3</v>
      </c>
      <c r="G87" s="12" t="s">
        <v>627</v>
      </c>
      <c r="H87" s="12" t="s">
        <v>540</v>
      </c>
      <c r="I87" s="12" t="s">
        <v>541</v>
      </c>
      <c r="J87" s="12"/>
      <c r="K87" s="17" t="s">
        <v>298</v>
      </c>
    </row>
    <row r="88" customFormat="false" ht="15" hidden="false" customHeight="false" outlineLevel="0" collapsed="false">
      <c r="A88" s="12" t="n">
        <v>87</v>
      </c>
      <c r="B88" s="12" t="s">
        <v>64</v>
      </c>
      <c r="C88" s="12" t="s">
        <v>552</v>
      </c>
      <c r="D88" s="11" t="s">
        <v>431</v>
      </c>
      <c r="E88" s="12" t="s">
        <v>373</v>
      </c>
      <c r="F88" s="16" t="n">
        <v>3</v>
      </c>
      <c r="G88" s="12" t="s">
        <v>628</v>
      </c>
      <c r="H88" s="12"/>
      <c r="I88" s="12"/>
      <c r="J88" s="12"/>
      <c r="K88" s="17" t="s">
        <v>298</v>
      </c>
    </row>
    <row r="89" customFormat="false" ht="15" hidden="false" customHeight="false" outlineLevel="0" collapsed="false">
      <c r="A89" s="12" t="n">
        <v>88</v>
      </c>
      <c r="B89" s="12" t="s">
        <v>64</v>
      </c>
      <c r="C89" s="12" t="s">
        <v>558</v>
      </c>
      <c r="D89" s="11" t="s">
        <v>431</v>
      </c>
      <c r="E89" s="12" t="s">
        <v>373</v>
      </c>
      <c r="F89" s="16" t="n">
        <v>3</v>
      </c>
      <c r="G89" s="12" t="s">
        <v>542</v>
      </c>
      <c r="H89" s="12"/>
      <c r="I89" s="12"/>
      <c r="J89" s="12"/>
      <c r="K89" s="17" t="s">
        <v>298</v>
      </c>
    </row>
    <row r="90" customFormat="false" ht="15" hidden="false" customHeight="false" outlineLevel="0" collapsed="false">
      <c r="A90" s="12" t="n">
        <v>89</v>
      </c>
      <c r="B90" s="12" t="s">
        <v>64</v>
      </c>
      <c r="C90" s="12" t="s">
        <v>595</v>
      </c>
      <c r="D90" s="11" t="s">
        <v>431</v>
      </c>
      <c r="E90" s="12" t="s">
        <v>373</v>
      </c>
      <c r="F90" s="16" t="n">
        <v>3</v>
      </c>
      <c r="G90" s="12" t="s">
        <v>543</v>
      </c>
      <c r="H90" s="12"/>
      <c r="I90" s="12"/>
      <c r="J90" s="12"/>
      <c r="K90" s="17" t="s">
        <v>298</v>
      </c>
    </row>
    <row r="91" customFormat="false" ht="35.05" hidden="false" customHeight="false" outlineLevel="0" collapsed="false">
      <c r="A91" s="12" t="n">
        <v>90</v>
      </c>
      <c r="B91" s="12" t="s">
        <v>64</v>
      </c>
      <c r="C91" s="12" t="s">
        <v>595</v>
      </c>
      <c r="D91" s="11" t="s">
        <v>438</v>
      </c>
      <c r="E91" s="12" t="s">
        <v>313</v>
      </c>
      <c r="F91" s="16" t="n">
        <v>3</v>
      </c>
      <c r="G91" s="12" t="s">
        <v>544</v>
      </c>
      <c r="H91" s="12" t="s">
        <v>545</v>
      </c>
      <c r="I91" s="12" t="s">
        <v>546</v>
      </c>
      <c r="J91" s="12" t="s">
        <v>547</v>
      </c>
      <c r="K91" s="17" t="s">
        <v>298</v>
      </c>
    </row>
    <row r="92" customFormat="false" ht="15" hidden="false" customHeight="false" outlineLevel="0" collapsed="false">
      <c r="A92" s="12" t="n">
        <v>91</v>
      </c>
      <c r="B92" s="12" t="s">
        <v>64</v>
      </c>
      <c r="C92" s="12" t="s">
        <v>563</v>
      </c>
      <c r="D92" s="11" t="s">
        <v>431</v>
      </c>
      <c r="E92" s="12" t="s">
        <v>373</v>
      </c>
      <c r="F92" s="16" t="n">
        <v>3</v>
      </c>
      <c r="G92" s="12" t="s">
        <v>548</v>
      </c>
      <c r="H92" s="12"/>
      <c r="I92" s="12"/>
      <c r="J92" s="12"/>
      <c r="K92" s="17" t="s">
        <v>298</v>
      </c>
    </row>
    <row r="93" customFormat="false" ht="15" hidden="false" customHeight="false" outlineLevel="0" collapsed="false">
      <c r="A93" s="12" t="n">
        <v>92</v>
      </c>
      <c r="B93" s="12" t="s">
        <v>64</v>
      </c>
      <c r="C93" s="12" t="s">
        <v>573</v>
      </c>
      <c r="D93" s="11" t="s">
        <v>431</v>
      </c>
      <c r="E93" s="12" t="s">
        <v>373</v>
      </c>
      <c r="F93" s="16" t="n">
        <v>3</v>
      </c>
      <c r="G93" s="12" t="s">
        <v>629</v>
      </c>
      <c r="H93" s="12"/>
      <c r="I93" s="12"/>
      <c r="J93" s="12"/>
      <c r="K93" s="17" t="s">
        <v>298</v>
      </c>
    </row>
    <row r="94" customFormat="false" ht="15" hidden="false" customHeight="false" outlineLevel="0" collapsed="false">
      <c r="A94" s="12" t="n">
        <v>93</v>
      </c>
      <c r="B94" s="12" t="s">
        <v>64</v>
      </c>
      <c r="C94" s="12" t="s">
        <v>578</v>
      </c>
      <c r="D94" s="11" t="s">
        <v>431</v>
      </c>
      <c r="E94" s="12" t="s">
        <v>373</v>
      </c>
      <c r="F94" s="16" t="n">
        <v>3</v>
      </c>
      <c r="G94" s="12" t="s">
        <v>550</v>
      </c>
      <c r="H94" s="12"/>
      <c r="I94" s="12"/>
      <c r="J94" s="12"/>
      <c r="K94" s="17" t="s">
        <v>298</v>
      </c>
    </row>
    <row r="95" customFormat="false" ht="15" hidden="false" customHeight="false" outlineLevel="0" collapsed="false">
      <c r="A95" s="12" t="n">
        <v>94</v>
      </c>
      <c r="B95" s="12" t="s">
        <v>64</v>
      </c>
      <c r="C95" s="12" t="s">
        <v>605</v>
      </c>
      <c r="D95" s="11" t="s">
        <v>431</v>
      </c>
      <c r="E95" s="12" t="s">
        <v>373</v>
      </c>
      <c r="F95" s="16" t="n">
        <v>3</v>
      </c>
      <c r="G95" s="12" t="s">
        <v>551</v>
      </c>
      <c r="H95" s="12"/>
      <c r="I95" s="12"/>
      <c r="J95" s="12"/>
      <c r="K95" s="17" t="s">
        <v>298</v>
      </c>
    </row>
    <row r="96" customFormat="false" ht="35.05" hidden="false" customHeight="false" outlineLevel="0" collapsed="false">
      <c r="A96" s="12" t="n">
        <v>95</v>
      </c>
      <c r="B96" s="12" t="s">
        <v>71</v>
      </c>
      <c r="C96" s="12" t="s">
        <v>630</v>
      </c>
      <c r="D96" s="11" t="s">
        <v>300</v>
      </c>
      <c r="E96" s="12" t="s">
        <v>301</v>
      </c>
      <c r="F96" s="16" t="n">
        <v>1</v>
      </c>
      <c r="G96" s="12" t="s">
        <v>631</v>
      </c>
      <c r="H96" s="12" t="s">
        <v>632</v>
      </c>
      <c r="I96" s="12" t="s">
        <v>633</v>
      </c>
      <c r="J96" s="12" t="s">
        <v>634</v>
      </c>
      <c r="K96" s="17" t="s">
        <v>298</v>
      </c>
    </row>
    <row r="97" customFormat="false" ht="35.05" hidden="false" customHeight="false" outlineLevel="0" collapsed="false">
      <c r="A97" s="12" t="n">
        <v>96</v>
      </c>
      <c r="B97" s="12" t="s">
        <v>71</v>
      </c>
      <c r="C97" s="12" t="s">
        <v>635</v>
      </c>
      <c r="D97" s="11" t="s">
        <v>636</v>
      </c>
      <c r="E97" s="12" t="s">
        <v>293</v>
      </c>
      <c r="F97" s="16" t="n">
        <v>1</v>
      </c>
      <c r="G97" s="12" t="s">
        <v>637</v>
      </c>
      <c r="H97" s="12" t="s">
        <v>638</v>
      </c>
      <c r="I97" s="12" t="s">
        <v>639</v>
      </c>
      <c r="J97" s="12" t="s">
        <v>640</v>
      </c>
      <c r="K97" s="17" t="s">
        <v>298</v>
      </c>
    </row>
    <row r="98" customFormat="false" ht="35.05" hidden="false" customHeight="false" outlineLevel="0" collapsed="false">
      <c r="A98" s="12" t="n">
        <v>97</v>
      </c>
      <c r="B98" s="12" t="s">
        <v>71</v>
      </c>
      <c r="C98" s="12" t="s">
        <v>635</v>
      </c>
      <c r="D98" s="11" t="s">
        <v>641</v>
      </c>
      <c r="E98" s="12" t="s">
        <v>293</v>
      </c>
      <c r="F98" s="16" t="n">
        <v>1</v>
      </c>
      <c r="G98" s="12" t="s">
        <v>642</v>
      </c>
      <c r="H98" s="12" t="s">
        <v>643</v>
      </c>
      <c r="I98" s="12" t="s">
        <v>644</v>
      </c>
      <c r="J98" s="12" t="s">
        <v>645</v>
      </c>
      <c r="K98" s="17" t="s">
        <v>298</v>
      </c>
    </row>
    <row r="99" customFormat="false" ht="23.85" hidden="false" customHeight="false" outlineLevel="0" collapsed="false">
      <c r="A99" s="12" t="n">
        <v>98</v>
      </c>
      <c r="B99" s="12" t="s">
        <v>71</v>
      </c>
      <c r="C99" s="12" t="s">
        <v>646</v>
      </c>
      <c r="D99" s="11" t="s">
        <v>326</v>
      </c>
      <c r="E99" s="12" t="s">
        <v>327</v>
      </c>
      <c r="F99" s="16" t="n">
        <v>1</v>
      </c>
      <c r="G99" s="12" t="s">
        <v>647</v>
      </c>
      <c r="H99" s="12" t="s">
        <v>571</v>
      </c>
      <c r="I99" s="12" t="s">
        <v>457</v>
      </c>
      <c r="J99" s="12"/>
      <c r="K99" s="17" t="s">
        <v>298</v>
      </c>
    </row>
    <row r="100" customFormat="false" ht="35.05" hidden="false" customHeight="false" outlineLevel="0" collapsed="false">
      <c r="A100" s="12" t="n">
        <v>99</v>
      </c>
      <c r="B100" s="12" t="s">
        <v>71</v>
      </c>
      <c r="C100" s="12" t="s">
        <v>648</v>
      </c>
      <c r="D100" s="11" t="s">
        <v>354</v>
      </c>
      <c r="E100" s="12" t="s">
        <v>355</v>
      </c>
      <c r="F100" s="16" t="n">
        <v>1</v>
      </c>
      <c r="G100" s="12" t="s">
        <v>649</v>
      </c>
      <c r="H100" s="12" t="s">
        <v>650</v>
      </c>
      <c r="I100" s="12" t="s">
        <v>651</v>
      </c>
      <c r="J100" s="12" t="s">
        <v>652</v>
      </c>
      <c r="K100" s="17" t="s">
        <v>298</v>
      </c>
    </row>
    <row r="101" customFormat="false" ht="35.05" hidden="false" customHeight="false" outlineLevel="0" collapsed="false">
      <c r="A101" s="12" t="n">
        <v>100</v>
      </c>
      <c r="B101" s="12" t="s">
        <v>71</v>
      </c>
      <c r="C101" s="12" t="s">
        <v>653</v>
      </c>
      <c r="D101" s="11" t="s">
        <v>312</v>
      </c>
      <c r="E101" s="12" t="s">
        <v>313</v>
      </c>
      <c r="F101" s="16" t="n">
        <v>2</v>
      </c>
      <c r="G101" s="12" t="s">
        <v>654</v>
      </c>
      <c r="H101" s="12" t="s">
        <v>655</v>
      </c>
      <c r="I101" s="12" t="s">
        <v>598</v>
      </c>
      <c r="J101" s="12"/>
      <c r="K101" s="17" t="s">
        <v>298</v>
      </c>
    </row>
    <row r="102" customFormat="false" ht="23.85" hidden="false" customHeight="false" outlineLevel="0" collapsed="false">
      <c r="A102" s="12" t="n">
        <v>101</v>
      </c>
      <c r="B102" s="12" t="s">
        <v>71</v>
      </c>
      <c r="C102" s="12" t="s">
        <v>635</v>
      </c>
      <c r="D102" s="11" t="s">
        <v>656</v>
      </c>
      <c r="E102" s="12" t="s">
        <v>362</v>
      </c>
      <c r="F102" s="16" t="n">
        <v>2</v>
      </c>
      <c r="G102" s="12" t="s">
        <v>657</v>
      </c>
      <c r="H102" s="12" t="s">
        <v>658</v>
      </c>
      <c r="I102" s="12" t="s">
        <v>659</v>
      </c>
      <c r="J102" s="12" t="s">
        <v>660</v>
      </c>
      <c r="K102" s="17" t="s">
        <v>298</v>
      </c>
    </row>
    <row r="103" customFormat="false" ht="35.05" hidden="false" customHeight="false" outlineLevel="0" collapsed="false">
      <c r="A103" s="12" t="n">
        <v>102</v>
      </c>
      <c r="B103" s="12" t="s">
        <v>71</v>
      </c>
      <c r="C103" s="12" t="s">
        <v>635</v>
      </c>
      <c r="D103" s="11" t="s">
        <v>661</v>
      </c>
      <c r="E103" s="12" t="s">
        <v>293</v>
      </c>
      <c r="F103" s="16" t="n">
        <v>2</v>
      </c>
      <c r="G103" s="12" t="s">
        <v>662</v>
      </c>
      <c r="H103" s="12" t="s">
        <v>663</v>
      </c>
      <c r="I103" s="12" t="s">
        <v>664</v>
      </c>
      <c r="J103" s="12" t="s">
        <v>665</v>
      </c>
      <c r="K103" s="17" t="s">
        <v>298</v>
      </c>
    </row>
    <row r="104" customFormat="false" ht="23.85" hidden="false" customHeight="false" outlineLevel="0" collapsed="false">
      <c r="A104" s="12" t="n">
        <v>103</v>
      </c>
      <c r="B104" s="12" t="s">
        <v>71</v>
      </c>
      <c r="C104" s="12" t="s">
        <v>666</v>
      </c>
      <c r="D104" s="11" t="s">
        <v>479</v>
      </c>
      <c r="E104" s="12" t="s">
        <v>320</v>
      </c>
      <c r="F104" s="16" t="n">
        <v>2</v>
      </c>
      <c r="G104" s="12" t="s">
        <v>667</v>
      </c>
      <c r="H104" s="12" t="s">
        <v>668</v>
      </c>
      <c r="I104" s="12" t="s">
        <v>669</v>
      </c>
      <c r="J104" s="12" t="s">
        <v>670</v>
      </c>
      <c r="K104" s="17" t="s">
        <v>298</v>
      </c>
    </row>
    <row r="105" customFormat="false" ht="23.85" hidden="false" customHeight="false" outlineLevel="0" collapsed="false">
      <c r="A105" s="12" t="n">
        <v>104</v>
      </c>
      <c r="B105" s="12" t="s">
        <v>71</v>
      </c>
      <c r="C105" s="12" t="s">
        <v>671</v>
      </c>
      <c r="D105" s="11" t="s">
        <v>361</v>
      </c>
      <c r="E105" s="12" t="s">
        <v>362</v>
      </c>
      <c r="F105" s="16" t="n">
        <v>2</v>
      </c>
      <c r="G105" s="12" t="s">
        <v>672</v>
      </c>
      <c r="H105" s="12" t="s">
        <v>607</v>
      </c>
      <c r="I105" s="12" t="s">
        <v>510</v>
      </c>
      <c r="J105" s="12" t="s">
        <v>608</v>
      </c>
      <c r="K105" s="17" t="s">
        <v>298</v>
      </c>
    </row>
    <row r="106" customFormat="false" ht="35.05" hidden="false" customHeight="false" outlineLevel="0" collapsed="false">
      <c r="A106" s="12" t="n">
        <v>105</v>
      </c>
      <c r="B106" s="12" t="s">
        <v>71</v>
      </c>
      <c r="C106" s="12" t="s">
        <v>673</v>
      </c>
      <c r="D106" s="11" t="s">
        <v>383</v>
      </c>
      <c r="E106" s="12" t="s">
        <v>384</v>
      </c>
      <c r="F106" s="16" t="n">
        <v>2</v>
      </c>
      <c r="G106" s="12" t="s">
        <v>674</v>
      </c>
      <c r="H106" s="12" t="s">
        <v>675</v>
      </c>
      <c r="I106" s="12" t="s">
        <v>676</v>
      </c>
      <c r="J106" s="12"/>
      <c r="K106" s="17" t="s">
        <v>298</v>
      </c>
    </row>
    <row r="107" customFormat="false" ht="35.05" hidden="false" customHeight="false" outlineLevel="0" collapsed="false">
      <c r="A107" s="12" t="n">
        <v>106</v>
      </c>
      <c r="B107" s="12" t="s">
        <v>71</v>
      </c>
      <c r="C107" s="12" t="s">
        <v>673</v>
      </c>
      <c r="D107" s="11" t="s">
        <v>389</v>
      </c>
      <c r="E107" s="12" t="s">
        <v>384</v>
      </c>
      <c r="F107" s="16" t="n">
        <v>2</v>
      </c>
      <c r="G107" s="12" t="s">
        <v>677</v>
      </c>
      <c r="H107" s="12" t="s">
        <v>678</v>
      </c>
      <c r="I107" s="12" t="s">
        <v>679</v>
      </c>
      <c r="J107" s="12"/>
      <c r="K107" s="17" t="s">
        <v>298</v>
      </c>
    </row>
    <row r="108" customFormat="false" ht="35.05" hidden="false" customHeight="false" outlineLevel="0" collapsed="false">
      <c r="A108" s="12" t="n">
        <v>107</v>
      </c>
      <c r="B108" s="12" t="s">
        <v>71</v>
      </c>
      <c r="C108" s="12" t="s">
        <v>673</v>
      </c>
      <c r="D108" s="11" t="s">
        <v>680</v>
      </c>
      <c r="E108" s="12" t="s">
        <v>384</v>
      </c>
      <c r="F108" s="16" t="n">
        <v>2</v>
      </c>
      <c r="G108" s="12" t="s">
        <v>681</v>
      </c>
      <c r="H108" s="12" t="s">
        <v>682</v>
      </c>
      <c r="I108" s="12" t="s">
        <v>683</v>
      </c>
      <c r="J108" s="12" t="s">
        <v>684</v>
      </c>
      <c r="K108" s="17" t="s">
        <v>298</v>
      </c>
    </row>
    <row r="109" customFormat="false" ht="35.05" hidden="false" customHeight="false" outlineLevel="0" collapsed="false">
      <c r="A109" s="12" t="n">
        <v>108</v>
      </c>
      <c r="B109" s="12" t="s">
        <v>71</v>
      </c>
      <c r="C109" s="12" t="s">
        <v>74</v>
      </c>
      <c r="D109" s="11" t="s">
        <v>404</v>
      </c>
      <c r="E109" s="12" t="s">
        <v>313</v>
      </c>
      <c r="F109" s="16" t="n">
        <v>3</v>
      </c>
      <c r="G109" s="12" t="s">
        <v>685</v>
      </c>
      <c r="H109" s="12" t="s">
        <v>527</v>
      </c>
      <c r="I109" s="12" t="s">
        <v>528</v>
      </c>
      <c r="J109" s="12" t="s">
        <v>529</v>
      </c>
      <c r="K109" s="17" t="s">
        <v>298</v>
      </c>
    </row>
    <row r="110" customFormat="false" ht="23.85" hidden="false" customHeight="false" outlineLevel="0" collapsed="false">
      <c r="A110" s="12" t="n">
        <v>109</v>
      </c>
      <c r="B110" s="12" t="s">
        <v>71</v>
      </c>
      <c r="C110" s="12" t="s">
        <v>74</v>
      </c>
      <c r="D110" s="11" t="s">
        <v>409</v>
      </c>
      <c r="E110" s="12" t="s">
        <v>410</v>
      </c>
      <c r="F110" s="16" t="n">
        <v>3</v>
      </c>
      <c r="G110" s="12" t="s">
        <v>686</v>
      </c>
      <c r="H110" s="12"/>
      <c r="I110" s="12"/>
      <c r="J110" s="12"/>
      <c r="K110" s="17" t="s">
        <v>298</v>
      </c>
    </row>
    <row r="111" customFormat="false" ht="23.85" hidden="false" customHeight="false" outlineLevel="0" collapsed="false">
      <c r="A111" s="12" t="n">
        <v>110</v>
      </c>
      <c r="B111" s="12" t="s">
        <v>71</v>
      </c>
      <c r="C111" s="12" t="s">
        <v>74</v>
      </c>
      <c r="D111" s="11" t="s">
        <v>412</v>
      </c>
      <c r="E111" s="12" t="s">
        <v>410</v>
      </c>
      <c r="F111" s="16" t="n">
        <v>3</v>
      </c>
      <c r="G111" s="12" t="s">
        <v>687</v>
      </c>
      <c r="H111" s="12"/>
      <c r="I111" s="12" t="s">
        <v>532</v>
      </c>
      <c r="J111" s="12"/>
      <c r="K111" s="17" t="s">
        <v>298</v>
      </c>
    </row>
    <row r="112" customFormat="false" ht="23.85" hidden="false" customHeight="false" outlineLevel="0" collapsed="false">
      <c r="A112" s="12" t="n">
        <v>111</v>
      </c>
      <c r="B112" s="12" t="s">
        <v>71</v>
      </c>
      <c r="C112" s="12" t="s">
        <v>74</v>
      </c>
      <c r="D112" s="11" t="s">
        <v>414</v>
      </c>
      <c r="E112" s="12" t="s">
        <v>384</v>
      </c>
      <c r="F112" s="16" t="n">
        <v>3</v>
      </c>
      <c r="G112" s="12" t="s">
        <v>688</v>
      </c>
      <c r="H112" s="12" t="s">
        <v>534</v>
      </c>
      <c r="I112" s="12" t="s">
        <v>535</v>
      </c>
      <c r="J112" s="12"/>
      <c r="K112" s="17" t="s">
        <v>298</v>
      </c>
    </row>
    <row r="113" customFormat="false" ht="23.85" hidden="false" customHeight="false" outlineLevel="0" collapsed="false">
      <c r="A113" s="12" t="n">
        <v>112</v>
      </c>
      <c r="B113" s="12" t="s">
        <v>71</v>
      </c>
      <c r="C113" s="12" t="s">
        <v>689</v>
      </c>
      <c r="D113" s="11" t="s">
        <v>690</v>
      </c>
      <c r="E113" s="12" t="s">
        <v>434</v>
      </c>
      <c r="F113" s="16" t="n">
        <v>3</v>
      </c>
      <c r="G113" s="12" t="s">
        <v>691</v>
      </c>
      <c r="H113" s="12"/>
      <c r="I113" s="12" t="s">
        <v>692</v>
      </c>
      <c r="J113" s="12"/>
      <c r="K113" s="17" t="s">
        <v>298</v>
      </c>
    </row>
    <row r="114" customFormat="false" ht="35.05" hidden="false" customHeight="false" outlineLevel="0" collapsed="false">
      <c r="A114" s="12" t="n">
        <v>113</v>
      </c>
      <c r="B114" s="12" t="s">
        <v>71</v>
      </c>
      <c r="C114" s="12" t="s">
        <v>693</v>
      </c>
      <c r="D114" s="11" t="s">
        <v>694</v>
      </c>
      <c r="E114" s="12" t="s">
        <v>434</v>
      </c>
      <c r="F114" s="16" t="n">
        <v>3</v>
      </c>
      <c r="G114" s="12" t="s">
        <v>695</v>
      </c>
      <c r="H114" s="12"/>
      <c r="I114" s="12" t="s">
        <v>696</v>
      </c>
      <c r="J114" s="12"/>
      <c r="K114" s="17" t="s">
        <v>298</v>
      </c>
    </row>
    <row r="115" customFormat="false" ht="23.85" hidden="false" customHeight="false" outlineLevel="0" collapsed="false">
      <c r="A115" s="12" t="n">
        <v>114</v>
      </c>
      <c r="B115" s="12" t="s">
        <v>71</v>
      </c>
      <c r="C115" s="12" t="s">
        <v>697</v>
      </c>
      <c r="D115" s="11" t="s">
        <v>698</v>
      </c>
      <c r="E115" s="12" t="s">
        <v>434</v>
      </c>
      <c r="F115" s="16" t="n">
        <v>3</v>
      </c>
      <c r="G115" s="12" t="s">
        <v>699</v>
      </c>
      <c r="H115" s="12"/>
      <c r="I115" s="12" t="s">
        <v>692</v>
      </c>
      <c r="J115" s="12"/>
      <c r="K115" s="17" t="s">
        <v>298</v>
      </c>
    </row>
    <row r="116" customFormat="false" ht="23.85" hidden="false" customHeight="false" outlineLevel="0" collapsed="false">
      <c r="A116" s="12" t="n">
        <v>115</v>
      </c>
      <c r="B116" s="12" t="s">
        <v>71</v>
      </c>
      <c r="C116" s="12" t="s">
        <v>697</v>
      </c>
      <c r="D116" s="11" t="s">
        <v>700</v>
      </c>
      <c r="E116" s="12" t="s">
        <v>434</v>
      </c>
      <c r="F116" s="16" t="n">
        <v>3</v>
      </c>
      <c r="G116" s="12" t="s">
        <v>701</v>
      </c>
      <c r="H116" s="12"/>
      <c r="I116" s="12" t="s">
        <v>702</v>
      </c>
      <c r="J116" s="12"/>
      <c r="K116" s="17" t="s">
        <v>298</v>
      </c>
    </row>
    <row r="117" customFormat="false" ht="23.85" hidden="false" customHeight="false" outlineLevel="0" collapsed="false">
      <c r="A117" s="12" t="n">
        <v>116</v>
      </c>
      <c r="B117" s="12" t="s">
        <v>71</v>
      </c>
      <c r="C117" s="12" t="s">
        <v>74</v>
      </c>
      <c r="D117" s="11" t="s">
        <v>418</v>
      </c>
      <c r="E117" s="12" t="s">
        <v>313</v>
      </c>
      <c r="F117" s="16" t="n">
        <v>3</v>
      </c>
      <c r="G117" s="12" t="s">
        <v>536</v>
      </c>
      <c r="H117" s="12" t="s">
        <v>537</v>
      </c>
      <c r="I117" s="12" t="s">
        <v>538</v>
      </c>
      <c r="J117" s="12"/>
      <c r="K117" s="17" t="s">
        <v>298</v>
      </c>
    </row>
    <row r="118" customFormat="false" ht="23.85" hidden="false" customHeight="false" outlineLevel="0" collapsed="false">
      <c r="A118" s="12" t="n">
        <v>117</v>
      </c>
      <c r="B118" s="12" t="s">
        <v>71</v>
      </c>
      <c r="C118" s="12" t="s">
        <v>74</v>
      </c>
      <c r="D118" s="11" t="s">
        <v>422</v>
      </c>
      <c r="E118" s="12" t="s">
        <v>373</v>
      </c>
      <c r="F118" s="16" t="n">
        <v>3</v>
      </c>
      <c r="G118" s="12" t="s">
        <v>703</v>
      </c>
      <c r="H118" s="12" t="s">
        <v>540</v>
      </c>
      <c r="I118" s="12" t="s">
        <v>541</v>
      </c>
      <c r="J118" s="12"/>
      <c r="K118" s="17" t="s">
        <v>298</v>
      </c>
    </row>
    <row r="119" customFormat="false" ht="15" hidden="false" customHeight="false" outlineLevel="0" collapsed="false">
      <c r="A119" s="12" t="n">
        <v>118</v>
      </c>
      <c r="B119" s="12" t="s">
        <v>71</v>
      </c>
      <c r="C119" s="12" t="s">
        <v>630</v>
      </c>
      <c r="D119" s="11" t="s">
        <v>431</v>
      </c>
      <c r="E119" s="12" t="s">
        <v>373</v>
      </c>
      <c r="F119" s="16" t="n">
        <v>3</v>
      </c>
      <c r="G119" s="12" t="s">
        <v>542</v>
      </c>
      <c r="H119" s="12"/>
      <c r="I119" s="12"/>
      <c r="J119" s="12"/>
      <c r="K119" s="17" t="s">
        <v>298</v>
      </c>
    </row>
    <row r="120" customFormat="false" ht="15" hidden="false" customHeight="false" outlineLevel="0" collapsed="false">
      <c r="A120" s="12" t="n">
        <v>119</v>
      </c>
      <c r="B120" s="12" t="s">
        <v>71</v>
      </c>
      <c r="C120" s="12" t="s">
        <v>653</v>
      </c>
      <c r="D120" s="11" t="s">
        <v>431</v>
      </c>
      <c r="E120" s="12" t="s">
        <v>373</v>
      </c>
      <c r="F120" s="16" t="n">
        <v>3</v>
      </c>
      <c r="G120" s="12" t="s">
        <v>543</v>
      </c>
      <c r="H120" s="12"/>
      <c r="I120" s="12"/>
      <c r="J120" s="12"/>
      <c r="K120" s="17" t="s">
        <v>298</v>
      </c>
    </row>
    <row r="121" customFormat="false" ht="35.05" hidden="false" customHeight="false" outlineLevel="0" collapsed="false">
      <c r="A121" s="12" t="n">
        <v>120</v>
      </c>
      <c r="B121" s="12" t="s">
        <v>71</v>
      </c>
      <c r="C121" s="12" t="s">
        <v>653</v>
      </c>
      <c r="D121" s="11" t="s">
        <v>438</v>
      </c>
      <c r="E121" s="12" t="s">
        <v>313</v>
      </c>
      <c r="F121" s="16" t="n">
        <v>3</v>
      </c>
      <c r="G121" s="12" t="s">
        <v>544</v>
      </c>
      <c r="H121" s="12" t="s">
        <v>545</v>
      </c>
      <c r="I121" s="12" t="s">
        <v>546</v>
      </c>
      <c r="J121" s="12" t="s">
        <v>547</v>
      </c>
      <c r="K121" s="17" t="s">
        <v>298</v>
      </c>
    </row>
    <row r="122" customFormat="false" ht="15" hidden="false" customHeight="false" outlineLevel="0" collapsed="false">
      <c r="A122" s="12" t="n">
        <v>121</v>
      </c>
      <c r="B122" s="12" t="s">
        <v>71</v>
      </c>
      <c r="C122" s="12" t="s">
        <v>635</v>
      </c>
      <c r="D122" s="11" t="s">
        <v>431</v>
      </c>
      <c r="E122" s="12" t="s">
        <v>373</v>
      </c>
      <c r="F122" s="16" t="n">
        <v>3</v>
      </c>
      <c r="G122" s="12" t="s">
        <v>704</v>
      </c>
      <c r="H122" s="12"/>
      <c r="I122" s="12"/>
      <c r="J122" s="12"/>
      <c r="K122" s="17" t="s">
        <v>298</v>
      </c>
    </row>
    <row r="123" customFormat="false" ht="15" hidden="false" customHeight="false" outlineLevel="0" collapsed="false">
      <c r="A123" s="12" t="n">
        <v>122</v>
      </c>
      <c r="B123" s="12" t="s">
        <v>71</v>
      </c>
      <c r="C123" s="12" t="s">
        <v>666</v>
      </c>
      <c r="D123" s="11" t="s">
        <v>431</v>
      </c>
      <c r="E123" s="12" t="s">
        <v>373</v>
      </c>
      <c r="F123" s="16" t="n">
        <v>3</v>
      </c>
      <c r="G123" s="12" t="s">
        <v>705</v>
      </c>
      <c r="H123" s="12"/>
      <c r="I123" s="12"/>
      <c r="J123" s="12"/>
      <c r="K123" s="17" t="s">
        <v>298</v>
      </c>
    </row>
    <row r="124" customFormat="false" ht="15" hidden="false" customHeight="false" outlineLevel="0" collapsed="false">
      <c r="A124" s="12" t="n">
        <v>123</v>
      </c>
      <c r="B124" s="12" t="s">
        <v>71</v>
      </c>
      <c r="C124" s="12" t="s">
        <v>648</v>
      </c>
      <c r="D124" s="11" t="s">
        <v>431</v>
      </c>
      <c r="E124" s="12" t="s">
        <v>373</v>
      </c>
      <c r="F124" s="16" t="n">
        <v>3</v>
      </c>
      <c r="G124" s="12" t="s">
        <v>550</v>
      </c>
      <c r="H124" s="12"/>
      <c r="I124" s="12"/>
      <c r="J124" s="12"/>
      <c r="K124" s="17" t="s">
        <v>298</v>
      </c>
    </row>
    <row r="125" customFormat="false" ht="15" hidden="false" customHeight="false" outlineLevel="0" collapsed="false">
      <c r="A125" s="12" t="n">
        <v>124</v>
      </c>
      <c r="B125" s="12" t="s">
        <v>71</v>
      </c>
      <c r="C125" s="12" t="s">
        <v>671</v>
      </c>
      <c r="D125" s="11" t="s">
        <v>431</v>
      </c>
      <c r="E125" s="12" t="s">
        <v>373</v>
      </c>
      <c r="F125" s="16" t="n">
        <v>3</v>
      </c>
      <c r="G125" s="12" t="s">
        <v>551</v>
      </c>
      <c r="H125" s="12"/>
      <c r="I125" s="12"/>
      <c r="J125" s="12"/>
      <c r="K125" s="17" t="s">
        <v>298</v>
      </c>
    </row>
    <row r="126" customFormat="false" ht="46.25" hidden="false" customHeight="false" outlineLevel="0" collapsed="false">
      <c r="A126" s="12" t="n">
        <v>125</v>
      </c>
      <c r="B126" s="12" t="s">
        <v>78</v>
      </c>
      <c r="C126" s="12" t="s">
        <v>706</v>
      </c>
      <c r="D126" s="11" t="s">
        <v>300</v>
      </c>
      <c r="E126" s="12" t="s">
        <v>301</v>
      </c>
      <c r="F126" s="16" t="n">
        <v>1</v>
      </c>
      <c r="G126" s="12" t="s">
        <v>707</v>
      </c>
      <c r="H126" s="12" t="s">
        <v>708</v>
      </c>
      <c r="I126" s="12" t="s">
        <v>709</v>
      </c>
      <c r="J126" s="12" t="s">
        <v>710</v>
      </c>
      <c r="K126" s="17" t="s">
        <v>298</v>
      </c>
    </row>
    <row r="127" customFormat="false" ht="35.05" hidden="false" customHeight="false" outlineLevel="0" collapsed="false">
      <c r="A127" s="12" t="n">
        <v>126</v>
      </c>
      <c r="B127" s="12" t="s">
        <v>78</v>
      </c>
      <c r="C127" s="12" t="s">
        <v>711</v>
      </c>
      <c r="D127" s="11" t="s">
        <v>712</v>
      </c>
      <c r="E127" s="12" t="s">
        <v>320</v>
      </c>
      <c r="F127" s="16" t="n">
        <v>1</v>
      </c>
      <c r="G127" s="12" t="s">
        <v>713</v>
      </c>
      <c r="H127" s="12" t="s">
        <v>714</v>
      </c>
      <c r="I127" s="12" t="s">
        <v>715</v>
      </c>
      <c r="J127" s="12" t="s">
        <v>716</v>
      </c>
      <c r="K127" s="17" t="s">
        <v>298</v>
      </c>
    </row>
    <row r="128" customFormat="false" ht="46.25" hidden="false" customHeight="false" outlineLevel="0" collapsed="false">
      <c r="A128" s="12" t="n">
        <v>127</v>
      </c>
      <c r="B128" s="12" t="s">
        <v>78</v>
      </c>
      <c r="C128" s="12" t="s">
        <v>717</v>
      </c>
      <c r="D128" s="11" t="s">
        <v>553</v>
      </c>
      <c r="E128" s="12" t="s">
        <v>293</v>
      </c>
      <c r="F128" s="16" t="n">
        <v>1</v>
      </c>
      <c r="G128" s="12" t="s">
        <v>718</v>
      </c>
      <c r="H128" s="12" t="s">
        <v>719</v>
      </c>
      <c r="I128" s="12" t="s">
        <v>720</v>
      </c>
      <c r="J128" s="12" t="s">
        <v>721</v>
      </c>
      <c r="K128" s="17" t="s">
        <v>298</v>
      </c>
    </row>
    <row r="129" customFormat="false" ht="57.45" hidden="false" customHeight="false" outlineLevel="0" collapsed="false">
      <c r="A129" s="12" t="n">
        <v>128</v>
      </c>
      <c r="B129" s="12" t="s">
        <v>78</v>
      </c>
      <c r="C129" s="12" t="s">
        <v>717</v>
      </c>
      <c r="D129" s="11" t="s">
        <v>722</v>
      </c>
      <c r="E129" s="12" t="s">
        <v>362</v>
      </c>
      <c r="F129" s="16" t="n">
        <v>1</v>
      </c>
      <c r="G129" s="12" t="s">
        <v>723</v>
      </c>
      <c r="H129" s="12" t="s">
        <v>724</v>
      </c>
      <c r="I129" s="12" t="s">
        <v>725</v>
      </c>
      <c r="J129" s="12" t="s">
        <v>726</v>
      </c>
      <c r="K129" s="17" t="s">
        <v>298</v>
      </c>
    </row>
    <row r="130" customFormat="false" ht="35.05" hidden="false" customHeight="false" outlineLevel="0" collapsed="false">
      <c r="A130" s="12" t="n">
        <v>129</v>
      </c>
      <c r="B130" s="12" t="s">
        <v>78</v>
      </c>
      <c r="C130" s="12" t="s">
        <v>717</v>
      </c>
      <c r="D130" s="11" t="s">
        <v>727</v>
      </c>
      <c r="E130" s="12" t="s">
        <v>362</v>
      </c>
      <c r="F130" s="16" t="n">
        <v>1</v>
      </c>
      <c r="G130" s="12" t="s">
        <v>728</v>
      </c>
      <c r="H130" s="12" t="s">
        <v>729</v>
      </c>
      <c r="I130" s="12" t="s">
        <v>730</v>
      </c>
      <c r="J130" s="12" t="s">
        <v>731</v>
      </c>
      <c r="K130" s="17" t="s">
        <v>298</v>
      </c>
    </row>
    <row r="131" customFormat="false" ht="35.05" hidden="false" customHeight="false" outlineLevel="0" collapsed="false">
      <c r="A131" s="12" t="n">
        <v>130</v>
      </c>
      <c r="B131" s="12" t="s">
        <v>78</v>
      </c>
      <c r="C131" s="12" t="s">
        <v>732</v>
      </c>
      <c r="D131" s="11" t="s">
        <v>733</v>
      </c>
      <c r="E131" s="12" t="s">
        <v>293</v>
      </c>
      <c r="F131" s="16" t="n">
        <v>1</v>
      </c>
      <c r="G131" s="12" t="s">
        <v>734</v>
      </c>
      <c r="H131" s="12" t="s">
        <v>735</v>
      </c>
      <c r="I131" s="12" t="s">
        <v>736</v>
      </c>
      <c r="J131" s="12" t="s">
        <v>737</v>
      </c>
      <c r="K131" s="17" t="s">
        <v>298</v>
      </c>
    </row>
    <row r="132" customFormat="false" ht="35.05" hidden="false" customHeight="false" outlineLevel="0" collapsed="false">
      <c r="A132" s="12" t="n">
        <v>131</v>
      </c>
      <c r="B132" s="12" t="s">
        <v>78</v>
      </c>
      <c r="C132" s="12" t="s">
        <v>738</v>
      </c>
      <c r="D132" s="11" t="s">
        <v>326</v>
      </c>
      <c r="E132" s="12" t="s">
        <v>327</v>
      </c>
      <c r="F132" s="16" t="n">
        <v>1</v>
      </c>
      <c r="G132" s="12" t="s">
        <v>739</v>
      </c>
      <c r="H132" s="12" t="s">
        <v>456</v>
      </c>
      <c r="I132" s="12" t="s">
        <v>740</v>
      </c>
      <c r="J132" s="12"/>
      <c r="K132" s="17" t="s">
        <v>298</v>
      </c>
    </row>
    <row r="133" customFormat="false" ht="46.25" hidden="false" customHeight="false" outlineLevel="0" collapsed="false">
      <c r="A133" s="12" t="n">
        <v>132</v>
      </c>
      <c r="B133" s="12" t="s">
        <v>78</v>
      </c>
      <c r="C133" s="12" t="s">
        <v>741</v>
      </c>
      <c r="D133" s="11" t="s">
        <v>354</v>
      </c>
      <c r="E133" s="12" t="s">
        <v>355</v>
      </c>
      <c r="F133" s="16" t="n">
        <v>1</v>
      </c>
      <c r="G133" s="12" t="s">
        <v>742</v>
      </c>
      <c r="H133" s="12" t="s">
        <v>743</v>
      </c>
      <c r="I133" s="12" t="s">
        <v>744</v>
      </c>
      <c r="J133" s="12"/>
      <c r="K133" s="17" t="s">
        <v>298</v>
      </c>
    </row>
    <row r="134" customFormat="false" ht="35.05" hidden="false" customHeight="false" outlineLevel="0" collapsed="false">
      <c r="A134" s="12" t="n">
        <v>133</v>
      </c>
      <c r="B134" s="12" t="s">
        <v>78</v>
      </c>
      <c r="C134" s="12" t="s">
        <v>745</v>
      </c>
      <c r="D134" s="11" t="s">
        <v>361</v>
      </c>
      <c r="E134" s="12" t="s">
        <v>362</v>
      </c>
      <c r="F134" s="16" t="n">
        <v>1</v>
      </c>
      <c r="G134" s="12" t="s">
        <v>746</v>
      </c>
      <c r="H134" s="12" t="s">
        <v>747</v>
      </c>
      <c r="I134" s="12" t="s">
        <v>748</v>
      </c>
      <c r="J134" s="12" t="s">
        <v>749</v>
      </c>
      <c r="K134" s="17" t="s">
        <v>298</v>
      </c>
    </row>
    <row r="135" customFormat="false" ht="46.25" hidden="false" customHeight="false" outlineLevel="0" collapsed="false">
      <c r="A135" s="12" t="n">
        <v>134</v>
      </c>
      <c r="B135" s="12" t="s">
        <v>78</v>
      </c>
      <c r="C135" s="12" t="s">
        <v>750</v>
      </c>
      <c r="D135" s="11" t="s">
        <v>312</v>
      </c>
      <c r="E135" s="12" t="s">
        <v>313</v>
      </c>
      <c r="F135" s="16" t="n">
        <v>2</v>
      </c>
      <c r="G135" s="12" t="s">
        <v>751</v>
      </c>
      <c r="H135" s="12" t="s">
        <v>752</v>
      </c>
      <c r="I135" s="12" t="s">
        <v>753</v>
      </c>
      <c r="J135" s="12" t="s">
        <v>754</v>
      </c>
      <c r="K135" s="17" t="s">
        <v>298</v>
      </c>
    </row>
    <row r="136" customFormat="false" ht="35.05" hidden="false" customHeight="false" outlineLevel="0" collapsed="false">
      <c r="A136" s="12" t="n">
        <v>135</v>
      </c>
      <c r="B136" s="12" t="s">
        <v>78</v>
      </c>
      <c r="C136" s="12" t="s">
        <v>717</v>
      </c>
      <c r="D136" s="11" t="s">
        <v>755</v>
      </c>
      <c r="E136" s="12" t="s">
        <v>293</v>
      </c>
      <c r="F136" s="16" t="n">
        <v>2</v>
      </c>
      <c r="G136" s="12" t="s">
        <v>756</v>
      </c>
      <c r="H136" s="12" t="s">
        <v>757</v>
      </c>
      <c r="I136" s="12" t="s">
        <v>758</v>
      </c>
      <c r="J136" s="12" t="s">
        <v>759</v>
      </c>
      <c r="K136" s="17" t="s">
        <v>298</v>
      </c>
    </row>
    <row r="137" customFormat="false" ht="35.05" hidden="false" customHeight="false" outlineLevel="0" collapsed="false">
      <c r="A137" s="12" t="n">
        <v>136</v>
      </c>
      <c r="B137" s="12" t="s">
        <v>78</v>
      </c>
      <c r="C137" s="12" t="s">
        <v>760</v>
      </c>
      <c r="D137" s="11" t="s">
        <v>383</v>
      </c>
      <c r="E137" s="12" t="s">
        <v>384</v>
      </c>
      <c r="F137" s="16" t="n">
        <v>2</v>
      </c>
      <c r="G137" s="12" t="s">
        <v>761</v>
      </c>
      <c r="H137" s="12" t="s">
        <v>762</v>
      </c>
      <c r="I137" s="12" t="s">
        <v>763</v>
      </c>
      <c r="J137" s="12" t="s">
        <v>764</v>
      </c>
      <c r="K137" s="17" t="s">
        <v>298</v>
      </c>
    </row>
    <row r="138" customFormat="false" ht="57.45" hidden="false" customHeight="false" outlineLevel="0" collapsed="false">
      <c r="A138" s="12" t="n">
        <v>137</v>
      </c>
      <c r="B138" s="12" t="s">
        <v>78</v>
      </c>
      <c r="C138" s="12" t="s">
        <v>760</v>
      </c>
      <c r="D138" s="11" t="s">
        <v>389</v>
      </c>
      <c r="E138" s="12" t="s">
        <v>384</v>
      </c>
      <c r="F138" s="16" t="n">
        <v>2</v>
      </c>
      <c r="G138" s="12" t="s">
        <v>765</v>
      </c>
      <c r="H138" s="12" t="s">
        <v>766</v>
      </c>
      <c r="I138" s="12" t="s">
        <v>767</v>
      </c>
      <c r="J138" s="12" t="s">
        <v>768</v>
      </c>
      <c r="K138" s="17" t="s">
        <v>298</v>
      </c>
    </row>
    <row r="139" customFormat="false" ht="35.05" hidden="false" customHeight="false" outlineLevel="0" collapsed="false">
      <c r="A139" s="12" t="n">
        <v>138</v>
      </c>
      <c r="B139" s="12" t="s">
        <v>78</v>
      </c>
      <c r="C139" s="12" t="s">
        <v>760</v>
      </c>
      <c r="D139" s="11" t="s">
        <v>769</v>
      </c>
      <c r="E139" s="12" t="s">
        <v>384</v>
      </c>
      <c r="F139" s="16" t="n">
        <v>2</v>
      </c>
      <c r="G139" s="12" t="s">
        <v>770</v>
      </c>
      <c r="H139" s="12" t="s">
        <v>771</v>
      </c>
      <c r="I139" s="12" t="s">
        <v>772</v>
      </c>
      <c r="J139" s="12" t="s">
        <v>773</v>
      </c>
      <c r="K139" s="17" t="s">
        <v>298</v>
      </c>
    </row>
    <row r="140" customFormat="false" ht="35.05" hidden="false" customHeight="false" outlineLevel="0" collapsed="false">
      <c r="A140" s="12" t="n">
        <v>139</v>
      </c>
      <c r="B140" s="12" t="s">
        <v>78</v>
      </c>
      <c r="C140" s="12" t="s">
        <v>80</v>
      </c>
      <c r="D140" s="11" t="s">
        <v>404</v>
      </c>
      <c r="E140" s="12" t="s">
        <v>313</v>
      </c>
      <c r="F140" s="16" t="n">
        <v>3</v>
      </c>
      <c r="G140" s="12" t="s">
        <v>774</v>
      </c>
      <c r="H140" s="12" t="s">
        <v>527</v>
      </c>
      <c r="I140" s="12" t="s">
        <v>528</v>
      </c>
      <c r="J140" s="12" t="s">
        <v>529</v>
      </c>
      <c r="K140" s="17" t="s">
        <v>298</v>
      </c>
    </row>
    <row r="141" customFormat="false" ht="23.85" hidden="false" customHeight="false" outlineLevel="0" collapsed="false">
      <c r="A141" s="12" t="n">
        <v>140</v>
      </c>
      <c r="B141" s="12" t="s">
        <v>78</v>
      </c>
      <c r="C141" s="12" t="s">
        <v>80</v>
      </c>
      <c r="D141" s="11" t="s">
        <v>409</v>
      </c>
      <c r="E141" s="12" t="s">
        <v>410</v>
      </c>
      <c r="F141" s="16" t="n">
        <v>3</v>
      </c>
      <c r="G141" s="12" t="s">
        <v>775</v>
      </c>
      <c r="H141" s="12"/>
      <c r="I141" s="12"/>
      <c r="J141" s="12"/>
      <c r="K141" s="17" t="s">
        <v>298</v>
      </c>
    </row>
    <row r="142" customFormat="false" ht="23.85" hidden="false" customHeight="false" outlineLevel="0" collapsed="false">
      <c r="A142" s="12" t="n">
        <v>141</v>
      </c>
      <c r="B142" s="12" t="s">
        <v>78</v>
      </c>
      <c r="C142" s="12" t="s">
        <v>80</v>
      </c>
      <c r="D142" s="11" t="s">
        <v>412</v>
      </c>
      <c r="E142" s="12" t="s">
        <v>410</v>
      </c>
      <c r="F142" s="16" t="n">
        <v>3</v>
      </c>
      <c r="G142" s="12" t="s">
        <v>776</v>
      </c>
      <c r="H142" s="12"/>
      <c r="I142" s="12" t="s">
        <v>532</v>
      </c>
      <c r="J142" s="12"/>
      <c r="K142" s="17" t="s">
        <v>298</v>
      </c>
    </row>
    <row r="143" customFormat="false" ht="23.85" hidden="false" customHeight="false" outlineLevel="0" collapsed="false">
      <c r="A143" s="12" t="n">
        <v>142</v>
      </c>
      <c r="B143" s="12" t="s">
        <v>78</v>
      </c>
      <c r="C143" s="12" t="s">
        <v>80</v>
      </c>
      <c r="D143" s="11" t="s">
        <v>414</v>
      </c>
      <c r="E143" s="12" t="s">
        <v>384</v>
      </c>
      <c r="F143" s="16" t="n">
        <v>3</v>
      </c>
      <c r="G143" s="12" t="s">
        <v>777</v>
      </c>
      <c r="H143" s="12" t="s">
        <v>534</v>
      </c>
      <c r="I143" s="12" t="s">
        <v>535</v>
      </c>
      <c r="J143" s="12"/>
      <c r="K143" s="17" t="s">
        <v>298</v>
      </c>
    </row>
    <row r="144" customFormat="false" ht="35.05" hidden="false" customHeight="false" outlineLevel="0" collapsed="false">
      <c r="A144" s="12" t="n">
        <v>143</v>
      </c>
      <c r="B144" s="12" t="s">
        <v>78</v>
      </c>
      <c r="C144" s="12" t="s">
        <v>778</v>
      </c>
      <c r="D144" s="11" t="s">
        <v>779</v>
      </c>
      <c r="E144" s="12" t="s">
        <v>780</v>
      </c>
      <c r="F144" s="16" t="n">
        <v>3</v>
      </c>
      <c r="G144" s="12" t="s">
        <v>781</v>
      </c>
      <c r="H144" s="12"/>
      <c r="I144" s="12" t="s">
        <v>782</v>
      </c>
      <c r="J144" s="12"/>
      <c r="K144" s="17" t="s">
        <v>298</v>
      </c>
    </row>
    <row r="145" customFormat="false" ht="23.85" hidden="false" customHeight="false" outlineLevel="0" collapsed="false">
      <c r="A145" s="12" t="n">
        <v>144</v>
      </c>
      <c r="B145" s="12" t="s">
        <v>78</v>
      </c>
      <c r="C145" s="12" t="s">
        <v>80</v>
      </c>
      <c r="D145" s="11" t="s">
        <v>418</v>
      </c>
      <c r="E145" s="12" t="s">
        <v>313</v>
      </c>
      <c r="F145" s="16" t="n">
        <v>3</v>
      </c>
      <c r="G145" s="12" t="s">
        <v>536</v>
      </c>
      <c r="H145" s="12" t="s">
        <v>537</v>
      </c>
      <c r="I145" s="12" t="s">
        <v>538</v>
      </c>
      <c r="J145" s="12"/>
      <c r="K145" s="17" t="s">
        <v>298</v>
      </c>
    </row>
    <row r="146" customFormat="false" ht="23.85" hidden="false" customHeight="false" outlineLevel="0" collapsed="false">
      <c r="A146" s="12" t="n">
        <v>145</v>
      </c>
      <c r="B146" s="12" t="s">
        <v>78</v>
      </c>
      <c r="C146" s="12" t="s">
        <v>80</v>
      </c>
      <c r="D146" s="11" t="s">
        <v>422</v>
      </c>
      <c r="E146" s="12" t="s">
        <v>373</v>
      </c>
      <c r="F146" s="16" t="n">
        <v>3</v>
      </c>
      <c r="G146" s="12" t="s">
        <v>783</v>
      </c>
      <c r="H146" s="12" t="s">
        <v>540</v>
      </c>
      <c r="I146" s="12" t="s">
        <v>541</v>
      </c>
      <c r="J146" s="12"/>
      <c r="K146" s="17" t="s">
        <v>298</v>
      </c>
    </row>
    <row r="147" customFormat="false" ht="15" hidden="false" customHeight="false" outlineLevel="0" collapsed="false">
      <c r="A147" s="12" t="n">
        <v>146</v>
      </c>
      <c r="B147" s="12" t="s">
        <v>78</v>
      </c>
      <c r="C147" s="12" t="s">
        <v>706</v>
      </c>
      <c r="D147" s="11" t="s">
        <v>431</v>
      </c>
      <c r="E147" s="12" t="s">
        <v>373</v>
      </c>
      <c r="F147" s="16" t="n">
        <v>3</v>
      </c>
      <c r="G147" s="12" t="s">
        <v>542</v>
      </c>
      <c r="H147" s="12"/>
      <c r="I147" s="12"/>
      <c r="J147" s="12"/>
      <c r="K147" s="17" t="s">
        <v>298</v>
      </c>
    </row>
    <row r="148" customFormat="false" ht="15" hidden="false" customHeight="false" outlineLevel="0" collapsed="false">
      <c r="A148" s="12" t="n">
        <v>147</v>
      </c>
      <c r="B148" s="12" t="s">
        <v>78</v>
      </c>
      <c r="C148" s="12" t="s">
        <v>711</v>
      </c>
      <c r="D148" s="11" t="s">
        <v>431</v>
      </c>
      <c r="E148" s="12" t="s">
        <v>373</v>
      </c>
      <c r="F148" s="16" t="n">
        <v>3</v>
      </c>
      <c r="G148" s="12" t="s">
        <v>784</v>
      </c>
      <c r="H148" s="12"/>
      <c r="I148" s="12"/>
      <c r="J148" s="12"/>
      <c r="K148" s="17" t="s">
        <v>298</v>
      </c>
    </row>
    <row r="149" customFormat="false" ht="15" hidden="false" customHeight="false" outlineLevel="0" collapsed="false">
      <c r="A149" s="12" t="n">
        <v>148</v>
      </c>
      <c r="B149" s="12" t="s">
        <v>78</v>
      </c>
      <c r="C149" s="12" t="s">
        <v>750</v>
      </c>
      <c r="D149" s="11" t="s">
        <v>431</v>
      </c>
      <c r="E149" s="12" t="s">
        <v>373</v>
      </c>
      <c r="F149" s="16" t="n">
        <v>3</v>
      </c>
      <c r="G149" s="12" t="s">
        <v>543</v>
      </c>
      <c r="H149" s="12"/>
      <c r="I149" s="12"/>
      <c r="J149" s="12"/>
      <c r="K149" s="17" t="s">
        <v>298</v>
      </c>
    </row>
    <row r="150" customFormat="false" ht="35.05" hidden="false" customHeight="false" outlineLevel="0" collapsed="false">
      <c r="A150" s="12" t="n">
        <v>149</v>
      </c>
      <c r="B150" s="12" t="s">
        <v>78</v>
      </c>
      <c r="C150" s="12" t="s">
        <v>750</v>
      </c>
      <c r="D150" s="11" t="s">
        <v>438</v>
      </c>
      <c r="E150" s="12" t="s">
        <v>313</v>
      </c>
      <c r="F150" s="16" t="n">
        <v>3</v>
      </c>
      <c r="G150" s="12" t="s">
        <v>544</v>
      </c>
      <c r="H150" s="12" t="s">
        <v>545</v>
      </c>
      <c r="I150" s="12" t="s">
        <v>546</v>
      </c>
      <c r="J150" s="12" t="s">
        <v>547</v>
      </c>
      <c r="K150" s="17" t="s">
        <v>298</v>
      </c>
    </row>
    <row r="151" customFormat="false" ht="15" hidden="false" customHeight="false" outlineLevel="0" collapsed="false">
      <c r="A151" s="12" t="n">
        <v>150</v>
      </c>
      <c r="B151" s="12" t="s">
        <v>78</v>
      </c>
      <c r="C151" s="12" t="s">
        <v>717</v>
      </c>
      <c r="D151" s="11" t="s">
        <v>431</v>
      </c>
      <c r="E151" s="12" t="s">
        <v>373</v>
      </c>
      <c r="F151" s="16" t="n">
        <v>3</v>
      </c>
      <c r="G151" s="12" t="s">
        <v>785</v>
      </c>
      <c r="H151" s="12"/>
      <c r="I151" s="12"/>
      <c r="J151" s="12"/>
      <c r="K151" s="17" t="s">
        <v>298</v>
      </c>
    </row>
    <row r="152" customFormat="false" ht="15" hidden="false" customHeight="false" outlineLevel="0" collapsed="false">
      <c r="A152" s="12" t="n">
        <v>151</v>
      </c>
      <c r="B152" s="12" t="s">
        <v>78</v>
      </c>
      <c r="C152" s="12" t="s">
        <v>732</v>
      </c>
      <c r="D152" s="11" t="s">
        <v>431</v>
      </c>
      <c r="E152" s="12" t="s">
        <v>373</v>
      </c>
      <c r="F152" s="16" t="n">
        <v>3</v>
      </c>
      <c r="G152" s="12" t="s">
        <v>548</v>
      </c>
      <c r="H152" s="12"/>
      <c r="I152" s="12"/>
      <c r="J152" s="12"/>
      <c r="K152" s="17" t="s">
        <v>298</v>
      </c>
    </row>
    <row r="153" customFormat="false" ht="15" hidden="false" customHeight="false" outlineLevel="0" collapsed="false">
      <c r="A153" s="12" t="n">
        <v>152</v>
      </c>
      <c r="B153" s="12" t="s">
        <v>78</v>
      </c>
      <c r="C153" s="12" t="s">
        <v>741</v>
      </c>
      <c r="D153" s="11" t="s">
        <v>431</v>
      </c>
      <c r="E153" s="12" t="s">
        <v>373</v>
      </c>
      <c r="F153" s="16" t="n">
        <v>3</v>
      </c>
      <c r="G153" s="12" t="s">
        <v>550</v>
      </c>
      <c r="H153" s="12"/>
      <c r="I153" s="12"/>
      <c r="J153" s="12"/>
      <c r="K153" s="17" t="s">
        <v>298</v>
      </c>
    </row>
    <row r="154" customFormat="false" ht="15" hidden="false" customHeight="false" outlineLevel="0" collapsed="false">
      <c r="A154" s="12" t="n">
        <v>153</v>
      </c>
      <c r="B154" s="12" t="s">
        <v>78</v>
      </c>
      <c r="C154" s="12" t="s">
        <v>745</v>
      </c>
      <c r="D154" s="11" t="s">
        <v>431</v>
      </c>
      <c r="E154" s="12" t="s">
        <v>373</v>
      </c>
      <c r="F154" s="16" t="n">
        <v>3</v>
      </c>
      <c r="G154" s="12" t="s">
        <v>551</v>
      </c>
      <c r="H154" s="12"/>
      <c r="I154" s="12"/>
      <c r="J154" s="12"/>
      <c r="K154" s="17" t="s">
        <v>298</v>
      </c>
    </row>
    <row r="155" customFormat="false" ht="46.25" hidden="false" customHeight="false" outlineLevel="0" collapsed="false">
      <c r="A155" s="12" t="n">
        <v>154</v>
      </c>
      <c r="B155" s="12" t="s">
        <v>84</v>
      </c>
      <c r="C155" s="12" t="s">
        <v>786</v>
      </c>
      <c r="D155" s="11" t="s">
        <v>787</v>
      </c>
      <c r="E155" s="12" t="s">
        <v>301</v>
      </c>
      <c r="F155" s="16" t="n">
        <v>1</v>
      </c>
      <c r="G155" s="12" t="s">
        <v>788</v>
      </c>
      <c r="H155" s="12" t="s">
        <v>789</v>
      </c>
      <c r="I155" s="12" t="s">
        <v>790</v>
      </c>
      <c r="J155" s="12" t="s">
        <v>791</v>
      </c>
      <c r="K155" s="17" t="s">
        <v>298</v>
      </c>
    </row>
    <row r="156" customFormat="false" ht="35.05" hidden="false" customHeight="false" outlineLevel="0" collapsed="false">
      <c r="A156" s="12" t="n">
        <v>155</v>
      </c>
      <c r="B156" s="12" t="s">
        <v>84</v>
      </c>
      <c r="C156" s="12" t="s">
        <v>792</v>
      </c>
      <c r="D156" s="11" t="s">
        <v>793</v>
      </c>
      <c r="E156" s="12" t="s">
        <v>320</v>
      </c>
      <c r="F156" s="16" t="n">
        <v>1</v>
      </c>
      <c r="G156" s="12" t="s">
        <v>794</v>
      </c>
      <c r="H156" s="12" t="s">
        <v>795</v>
      </c>
      <c r="I156" s="12" t="s">
        <v>796</v>
      </c>
      <c r="J156" s="12" t="s">
        <v>797</v>
      </c>
      <c r="K156" s="17" t="s">
        <v>298</v>
      </c>
    </row>
    <row r="157" customFormat="false" ht="46.25" hidden="false" customHeight="false" outlineLevel="0" collapsed="false">
      <c r="A157" s="12" t="n">
        <v>156</v>
      </c>
      <c r="B157" s="12" t="s">
        <v>84</v>
      </c>
      <c r="C157" s="12" t="s">
        <v>798</v>
      </c>
      <c r="D157" s="11" t="s">
        <v>799</v>
      </c>
      <c r="E157" s="12" t="s">
        <v>293</v>
      </c>
      <c r="F157" s="16" t="n">
        <v>1</v>
      </c>
      <c r="G157" s="12" t="s">
        <v>800</v>
      </c>
      <c r="H157" s="12" t="s">
        <v>801</v>
      </c>
      <c r="I157" s="12" t="s">
        <v>802</v>
      </c>
      <c r="J157" s="12" t="s">
        <v>803</v>
      </c>
      <c r="K157" s="17" t="s">
        <v>298</v>
      </c>
    </row>
    <row r="158" customFormat="false" ht="46.25" hidden="false" customHeight="false" outlineLevel="0" collapsed="false">
      <c r="A158" s="12" t="n">
        <v>157</v>
      </c>
      <c r="B158" s="12" t="s">
        <v>84</v>
      </c>
      <c r="C158" s="12" t="s">
        <v>798</v>
      </c>
      <c r="D158" s="11" t="s">
        <v>804</v>
      </c>
      <c r="E158" s="12" t="s">
        <v>293</v>
      </c>
      <c r="F158" s="16" t="n">
        <v>1</v>
      </c>
      <c r="G158" s="12" t="s">
        <v>805</v>
      </c>
      <c r="H158" s="12" t="s">
        <v>806</v>
      </c>
      <c r="I158" s="12" t="s">
        <v>807</v>
      </c>
      <c r="J158" s="12" t="s">
        <v>808</v>
      </c>
      <c r="K158" s="17" t="s">
        <v>298</v>
      </c>
    </row>
    <row r="159" customFormat="false" ht="35.05" hidden="false" customHeight="false" outlineLevel="0" collapsed="false">
      <c r="A159" s="12" t="n">
        <v>158</v>
      </c>
      <c r="B159" s="12" t="s">
        <v>84</v>
      </c>
      <c r="C159" s="12" t="s">
        <v>798</v>
      </c>
      <c r="D159" s="11" t="s">
        <v>809</v>
      </c>
      <c r="E159" s="12" t="s">
        <v>293</v>
      </c>
      <c r="F159" s="16" t="n">
        <v>1</v>
      </c>
      <c r="G159" s="12" t="s">
        <v>810</v>
      </c>
      <c r="H159" s="12" t="s">
        <v>811</v>
      </c>
      <c r="I159" s="12" t="s">
        <v>812</v>
      </c>
      <c r="J159" s="12" t="s">
        <v>813</v>
      </c>
      <c r="K159" s="17" t="s">
        <v>298</v>
      </c>
    </row>
    <row r="160" customFormat="false" ht="35.05" hidden="false" customHeight="false" outlineLevel="0" collapsed="false">
      <c r="A160" s="12" t="n">
        <v>159</v>
      </c>
      <c r="B160" s="12" t="s">
        <v>84</v>
      </c>
      <c r="C160" s="12" t="s">
        <v>798</v>
      </c>
      <c r="D160" s="11" t="s">
        <v>814</v>
      </c>
      <c r="E160" s="12" t="s">
        <v>293</v>
      </c>
      <c r="F160" s="16" t="n">
        <v>1</v>
      </c>
      <c r="G160" s="12" t="s">
        <v>815</v>
      </c>
      <c r="H160" s="12" t="s">
        <v>816</v>
      </c>
      <c r="I160" s="12" t="s">
        <v>817</v>
      </c>
      <c r="J160" s="12" t="s">
        <v>818</v>
      </c>
      <c r="K160" s="17" t="s">
        <v>298</v>
      </c>
    </row>
    <row r="161" customFormat="false" ht="35.05" hidden="false" customHeight="false" outlineLevel="0" collapsed="false">
      <c r="A161" s="12" t="n">
        <v>160</v>
      </c>
      <c r="B161" s="12" t="s">
        <v>84</v>
      </c>
      <c r="C161" s="12" t="s">
        <v>786</v>
      </c>
      <c r="D161" s="11" t="s">
        <v>819</v>
      </c>
      <c r="E161" s="12" t="s">
        <v>355</v>
      </c>
      <c r="F161" s="16" t="n">
        <v>1</v>
      </c>
      <c r="G161" s="12" t="s">
        <v>820</v>
      </c>
      <c r="H161" s="12" t="s">
        <v>821</v>
      </c>
      <c r="I161" s="12" t="s">
        <v>822</v>
      </c>
      <c r="J161" s="12" t="s">
        <v>823</v>
      </c>
      <c r="K161" s="17" t="s">
        <v>298</v>
      </c>
    </row>
    <row r="162" customFormat="false" ht="35.05" hidden="false" customHeight="false" outlineLevel="0" collapsed="false">
      <c r="A162" s="12" t="n">
        <v>161</v>
      </c>
      <c r="B162" s="12" t="s">
        <v>84</v>
      </c>
      <c r="C162" s="12" t="s">
        <v>786</v>
      </c>
      <c r="D162" s="11" t="s">
        <v>824</v>
      </c>
      <c r="E162" s="12" t="s">
        <v>327</v>
      </c>
      <c r="F162" s="16" t="n">
        <v>1</v>
      </c>
      <c r="G162" s="12" t="s">
        <v>825</v>
      </c>
      <c r="H162" s="12" t="s">
        <v>826</v>
      </c>
      <c r="I162" s="12" t="s">
        <v>827</v>
      </c>
      <c r="J162" s="12" t="s">
        <v>828</v>
      </c>
      <c r="K162" s="17" t="s">
        <v>298</v>
      </c>
    </row>
    <row r="163" customFormat="false" ht="35.05" hidden="false" customHeight="false" outlineLevel="0" collapsed="false">
      <c r="A163" s="12" t="n">
        <v>162</v>
      </c>
      <c r="B163" s="12" t="s">
        <v>84</v>
      </c>
      <c r="C163" s="12" t="s">
        <v>829</v>
      </c>
      <c r="D163" s="11" t="s">
        <v>830</v>
      </c>
      <c r="E163" s="12" t="s">
        <v>293</v>
      </c>
      <c r="F163" s="16" t="n">
        <v>1</v>
      </c>
      <c r="G163" s="12" t="s">
        <v>831</v>
      </c>
      <c r="H163" s="12" t="s">
        <v>832</v>
      </c>
      <c r="I163" s="12" t="s">
        <v>833</v>
      </c>
      <c r="J163" s="12" t="s">
        <v>834</v>
      </c>
      <c r="K163" s="17" t="s">
        <v>298</v>
      </c>
    </row>
    <row r="164" customFormat="false" ht="35.05" hidden="false" customHeight="false" outlineLevel="0" collapsed="false">
      <c r="A164" s="12" t="n">
        <v>163</v>
      </c>
      <c r="B164" s="12" t="s">
        <v>84</v>
      </c>
      <c r="C164" s="12" t="s">
        <v>835</v>
      </c>
      <c r="D164" s="11" t="s">
        <v>836</v>
      </c>
      <c r="E164" s="12" t="s">
        <v>384</v>
      </c>
      <c r="F164" s="16" t="n">
        <v>1</v>
      </c>
      <c r="G164" s="12" t="s">
        <v>837</v>
      </c>
      <c r="H164" s="12" t="s">
        <v>838</v>
      </c>
      <c r="I164" s="12" t="s">
        <v>839</v>
      </c>
      <c r="J164" s="12" t="s">
        <v>840</v>
      </c>
      <c r="K164" s="17" t="s">
        <v>298</v>
      </c>
    </row>
    <row r="165" customFormat="false" ht="35.05" hidden="false" customHeight="false" outlineLevel="0" collapsed="false">
      <c r="A165" s="12" t="n">
        <v>164</v>
      </c>
      <c r="B165" s="12" t="s">
        <v>84</v>
      </c>
      <c r="C165" s="12" t="s">
        <v>88</v>
      </c>
      <c r="D165" s="11" t="s">
        <v>841</v>
      </c>
      <c r="E165" s="12" t="s">
        <v>373</v>
      </c>
      <c r="F165" s="16" t="n">
        <v>2</v>
      </c>
      <c r="G165" s="12" t="s">
        <v>842</v>
      </c>
      <c r="H165" s="12" t="s">
        <v>843</v>
      </c>
      <c r="I165" s="12" t="s">
        <v>844</v>
      </c>
      <c r="J165" s="12"/>
      <c r="K165" s="17" t="s">
        <v>298</v>
      </c>
    </row>
    <row r="166" customFormat="false" ht="23.85" hidden="false" customHeight="false" outlineLevel="0" collapsed="false">
      <c r="A166" s="12" t="n">
        <v>165</v>
      </c>
      <c r="B166" s="12" t="s">
        <v>84</v>
      </c>
      <c r="C166" s="12" t="s">
        <v>786</v>
      </c>
      <c r="D166" s="11" t="s">
        <v>845</v>
      </c>
      <c r="E166" s="12" t="s">
        <v>362</v>
      </c>
      <c r="F166" s="16" t="n">
        <v>2</v>
      </c>
      <c r="G166" s="12" t="s">
        <v>846</v>
      </c>
      <c r="H166" s="12" t="s">
        <v>847</v>
      </c>
      <c r="I166" s="12" t="s">
        <v>848</v>
      </c>
      <c r="J166" s="12" t="s">
        <v>849</v>
      </c>
      <c r="K166" s="17" t="s">
        <v>298</v>
      </c>
    </row>
    <row r="167" customFormat="false" ht="23.85" hidden="false" customHeight="false" outlineLevel="0" collapsed="false">
      <c r="A167" s="12" t="n">
        <v>166</v>
      </c>
      <c r="B167" s="12" t="s">
        <v>84</v>
      </c>
      <c r="C167" s="12" t="s">
        <v>786</v>
      </c>
      <c r="D167" s="11" t="s">
        <v>850</v>
      </c>
      <c r="E167" s="12" t="s">
        <v>362</v>
      </c>
      <c r="F167" s="16" t="n">
        <v>2</v>
      </c>
      <c r="G167" s="12" t="s">
        <v>851</v>
      </c>
      <c r="H167" s="12" t="s">
        <v>852</v>
      </c>
      <c r="I167" s="12" t="s">
        <v>853</v>
      </c>
      <c r="J167" s="12" t="s">
        <v>854</v>
      </c>
      <c r="K167" s="17" t="s">
        <v>298</v>
      </c>
    </row>
    <row r="168" customFormat="false" ht="57.45" hidden="false" customHeight="false" outlineLevel="0" collapsed="false">
      <c r="A168" s="12" t="n">
        <v>167</v>
      </c>
      <c r="B168" s="12" t="s">
        <v>84</v>
      </c>
      <c r="C168" s="12" t="s">
        <v>786</v>
      </c>
      <c r="D168" s="11" t="s">
        <v>855</v>
      </c>
      <c r="E168" s="12" t="s">
        <v>313</v>
      </c>
      <c r="F168" s="16" t="n">
        <v>2</v>
      </c>
      <c r="G168" s="12" t="s">
        <v>856</v>
      </c>
      <c r="H168" s="12" t="s">
        <v>857</v>
      </c>
      <c r="I168" s="12" t="s">
        <v>858</v>
      </c>
      <c r="J168" s="12" t="s">
        <v>859</v>
      </c>
      <c r="K168" s="17" t="s">
        <v>298</v>
      </c>
    </row>
    <row r="169" customFormat="false" ht="23.85" hidden="false" customHeight="false" outlineLevel="0" collapsed="false">
      <c r="A169" s="12" t="n">
        <v>168</v>
      </c>
      <c r="B169" s="12" t="s">
        <v>84</v>
      </c>
      <c r="C169" s="12" t="s">
        <v>786</v>
      </c>
      <c r="D169" s="11" t="s">
        <v>860</v>
      </c>
      <c r="E169" s="12" t="s">
        <v>301</v>
      </c>
      <c r="F169" s="16" t="n">
        <v>2</v>
      </c>
      <c r="G169" s="12" t="s">
        <v>861</v>
      </c>
      <c r="H169" s="12" t="s">
        <v>862</v>
      </c>
      <c r="I169" s="12" t="s">
        <v>863</v>
      </c>
      <c r="J169" s="12" t="s">
        <v>864</v>
      </c>
      <c r="K169" s="17" t="s">
        <v>298</v>
      </c>
    </row>
    <row r="170" customFormat="false" ht="23.85" hidden="false" customHeight="false" outlineLevel="0" collapsed="false">
      <c r="A170" s="12" t="n">
        <v>169</v>
      </c>
      <c r="B170" s="12" t="s">
        <v>84</v>
      </c>
      <c r="C170" s="12" t="s">
        <v>786</v>
      </c>
      <c r="D170" s="11" t="s">
        <v>865</v>
      </c>
      <c r="E170" s="12" t="s">
        <v>355</v>
      </c>
      <c r="F170" s="16" t="n">
        <v>2</v>
      </c>
      <c r="G170" s="12" t="s">
        <v>866</v>
      </c>
      <c r="H170" s="12" t="s">
        <v>867</v>
      </c>
      <c r="I170" s="12" t="s">
        <v>868</v>
      </c>
      <c r="J170" s="12" t="s">
        <v>869</v>
      </c>
      <c r="K170" s="17" t="s">
        <v>298</v>
      </c>
    </row>
    <row r="171" customFormat="false" ht="35.05" hidden="false" customHeight="false" outlineLevel="0" collapsed="false">
      <c r="A171" s="12" t="n">
        <v>170</v>
      </c>
      <c r="B171" s="12" t="s">
        <v>84</v>
      </c>
      <c r="C171" s="12" t="s">
        <v>835</v>
      </c>
      <c r="D171" s="11" t="s">
        <v>870</v>
      </c>
      <c r="E171" s="12" t="s">
        <v>384</v>
      </c>
      <c r="F171" s="16" t="n">
        <v>2</v>
      </c>
      <c r="G171" s="12" t="s">
        <v>871</v>
      </c>
      <c r="H171" s="12" t="s">
        <v>872</v>
      </c>
      <c r="I171" s="12" t="s">
        <v>873</v>
      </c>
      <c r="J171" s="12"/>
      <c r="K171" s="17" t="s">
        <v>298</v>
      </c>
    </row>
    <row r="172" customFormat="false" ht="35.05" hidden="false" customHeight="false" outlineLevel="0" collapsed="false">
      <c r="A172" s="12" t="n">
        <v>171</v>
      </c>
      <c r="B172" s="12" t="s">
        <v>84</v>
      </c>
      <c r="C172" s="12" t="s">
        <v>835</v>
      </c>
      <c r="D172" s="11" t="s">
        <v>874</v>
      </c>
      <c r="E172" s="12" t="s">
        <v>384</v>
      </c>
      <c r="F172" s="16" t="n">
        <v>2</v>
      </c>
      <c r="G172" s="12" t="s">
        <v>875</v>
      </c>
      <c r="H172" s="12" t="s">
        <v>876</v>
      </c>
      <c r="I172" s="12" t="s">
        <v>877</v>
      </c>
      <c r="J172" s="12" t="s">
        <v>878</v>
      </c>
      <c r="K172" s="17" t="s">
        <v>298</v>
      </c>
    </row>
    <row r="173" customFormat="false" ht="46.25" hidden="false" customHeight="false" outlineLevel="0" collapsed="false">
      <c r="A173" s="12" t="n">
        <v>172</v>
      </c>
      <c r="B173" s="12" t="s">
        <v>84</v>
      </c>
      <c r="C173" s="12" t="s">
        <v>88</v>
      </c>
      <c r="D173" s="11" t="s">
        <v>404</v>
      </c>
      <c r="E173" s="12" t="s">
        <v>313</v>
      </c>
      <c r="F173" s="16" t="n">
        <v>3</v>
      </c>
      <c r="G173" s="12" t="s">
        <v>879</v>
      </c>
      <c r="H173" s="12" t="s">
        <v>880</v>
      </c>
      <c r="I173" s="12" t="s">
        <v>881</v>
      </c>
      <c r="J173" s="12"/>
      <c r="K173" s="17" t="s">
        <v>298</v>
      </c>
    </row>
    <row r="174" customFormat="false" ht="15" hidden="false" customHeight="false" outlineLevel="0" collapsed="false">
      <c r="A174" s="12" t="n">
        <v>173</v>
      </c>
      <c r="B174" s="12" t="s">
        <v>84</v>
      </c>
      <c r="C174" s="12" t="s">
        <v>88</v>
      </c>
      <c r="D174" s="11" t="s">
        <v>882</v>
      </c>
      <c r="E174" s="12" t="s">
        <v>313</v>
      </c>
      <c r="F174" s="16" t="n">
        <v>3</v>
      </c>
      <c r="G174" s="12" t="s">
        <v>883</v>
      </c>
      <c r="H174" s="12"/>
      <c r="I174" s="12"/>
      <c r="J174" s="12"/>
      <c r="K174" s="17" t="s">
        <v>298</v>
      </c>
    </row>
    <row r="175" customFormat="false" ht="23.85" hidden="false" customHeight="false" outlineLevel="0" collapsed="false">
      <c r="A175" s="12" t="n">
        <v>174</v>
      </c>
      <c r="B175" s="12" t="s">
        <v>84</v>
      </c>
      <c r="C175" s="12" t="s">
        <v>88</v>
      </c>
      <c r="D175" s="11" t="s">
        <v>409</v>
      </c>
      <c r="E175" s="12" t="s">
        <v>410</v>
      </c>
      <c r="F175" s="16" t="n">
        <v>3</v>
      </c>
      <c r="G175" s="12" t="s">
        <v>884</v>
      </c>
      <c r="H175" s="12"/>
      <c r="I175" s="12" t="s">
        <v>885</v>
      </c>
      <c r="J175" s="12"/>
      <c r="K175" s="17" t="s">
        <v>298</v>
      </c>
    </row>
    <row r="176" customFormat="false" ht="23.85" hidden="false" customHeight="false" outlineLevel="0" collapsed="false">
      <c r="A176" s="12" t="n">
        <v>175</v>
      </c>
      <c r="B176" s="12" t="s">
        <v>84</v>
      </c>
      <c r="C176" s="12" t="s">
        <v>88</v>
      </c>
      <c r="D176" s="11" t="s">
        <v>412</v>
      </c>
      <c r="E176" s="12" t="s">
        <v>410</v>
      </c>
      <c r="F176" s="16" t="n">
        <v>3</v>
      </c>
      <c r="G176" s="12" t="s">
        <v>886</v>
      </c>
      <c r="H176" s="12"/>
      <c r="I176" s="12" t="s">
        <v>887</v>
      </c>
      <c r="J176" s="12"/>
      <c r="K176" s="17" t="s">
        <v>298</v>
      </c>
    </row>
    <row r="177" customFormat="false" ht="35.05" hidden="false" customHeight="false" outlineLevel="0" collapsed="false">
      <c r="A177" s="12" t="n">
        <v>176</v>
      </c>
      <c r="B177" s="12" t="s">
        <v>84</v>
      </c>
      <c r="C177" s="12" t="s">
        <v>88</v>
      </c>
      <c r="D177" s="11" t="s">
        <v>414</v>
      </c>
      <c r="E177" s="12" t="s">
        <v>384</v>
      </c>
      <c r="F177" s="16" t="n">
        <v>3</v>
      </c>
      <c r="G177" s="12" t="s">
        <v>888</v>
      </c>
      <c r="H177" s="12"/>
      <c r="I177" s="12" t="s">
        <v>889</v>
      </c>
      <c r="J177" s="12"/>
      <c r="K177" s="17" t="s">
        <v>298</v>
      </c>
    </row>
    <row r="178" customFormat="false" ht="35.05" hidden="false" customHeight="false" outlineLevel="0" collapsed="false">
      <c r="A178" s="12" t="n">
        <v>177</v>
      </c>
      <c r="B178" s="12" t="s">
        <v>84</v>
      </c>
      <c r="C178" s="12" t="s">
        <v>890</v>
      </c>
      <c r="D178" s="11" t="s">
        <v>891</v>
      </c>
      <c r="E178" s="12" t="s">
        <v>780</v>
      </c>
      <c r="F178" s="16" t="n">
        <v>3</v>
      </c>
      <c r="G178" s="12" t="s">
        <v>892</v>
      </c>
      <c r="H178" s="12"/>
      <c r="I178" s="12" t="s">
        <v>893</v>
      </c>
      <c r="J178" s="12"/>
      <c r="K178" s="17" t="s">
        <v>298</v>
      </c>
    </row>
    <row r="179" customFormat="false" ht="23.85" hidden="false" customHeight="false" outlineLevel="0" collapsed="false">
      <c r="A179" s="12" t="n">
        <v>178</v>
      </c>
      <c r="B179" s="12" t="s">
        <v>84</v>
      </c>
      <c r="C179" s="12" t="s">
        <v>786</v>
      </c>
      <c r="D179" s="11" t="s">
        <v>894</v>
      </c>
      <c r="E179" s="12" t="s">
        <v>373</v>
      </c>
      <c r="F179" s="16" t="n">
        <v>3</v>
      </c>
      <c r="G179" s="12" t="s">
        <v>895</v>
      </c>
      <c r="H179" s="12" t="s">
        <v>896</v>
      </c>
      <c r="I179" s="12" t="s">
        <v>897</v>
      </c>
      <c r="J179" s="12" t="s">
        <v>898</v>
      </c>
      <c r="K179" s="17" t="s">
        <v>298</v>
      </c>
    </row>
    <row r="180" customFormat="false" ht="23.85" hidden="false" customHeight="false" outlineLevel="0" collapsed="false">
      <c r="A180" s="12" t="n">
        <v>179</v>
      </c>
      <c r="B180" s="12" t="s">
        <v>84</v>
      </c>
      <c r="C180" s="12" t="s">
        <v>835</v>
      </c>
      <c r="D180" s="11" t="s">
        <v>899</v>
      </c>
      <c r="E180" s="12" t="s">
        <v>384</v>
      </c>
      <c r="F180" s="16" t="n">
        <v>3</v>
      </c>
      <c r="G180" s="12" t="s">
        <v>900</v>
      </c>
      <c r="H180" s="12" t="s">
        <v>901</v>
      </c>
      <c r="I180" s="12" t="s">
        <v>902</v>
      </c>
      <c r="J180" s="12"/>
      <c r="K180" s="17" t="s">
        <v>298</v>
      </c>
    </row>
    <row r="181" customFormat="false" ht="15" hidden="false" customHeight="false" outlineLevel="0" collapsed="false">
      <c r="A181" s="12" t="n">
        <v>180</v>
      </c>
      <c r="B181" s="12" t="s">
        <v>84</v>
      </c>
      <c r="C181" s="12" t="s">
        <v>88</v>
      </c>
      <c r="D181" s="11" t="s">
        <v>903</v>
      </c>
      <c r="E181" s="12" t="s">
        <v>373</v>
      </c>
      <c r="F181" s="16" t="n">
        <v>3</v>
      </c>
      <c r="G181" s="12" t="s">
        <v>904</v>
      </c>
      <c r="H181" s="12" t="s">
        <v>905</v>
      </c>
      <c r="I181" s="12" t="s">
        <v>906</v>
      </c>
      <c r="J181" s="12"/>
      <c r="K181" s="17" t="s">
        <v>298</v>
      </c>
    </row>
    <row r="182" customFormat="false" ht="23.85" hidden="false" customHeight="false" outlineLevel="0" collapsed="false">
      <c r="A182" s="12" t="n">
        <v>181</v>
      </c>
      <c r="B182" s="12" t="s">
        <v>84</v>
      </c>
      <c r="C182" s="12" t="s">
        <v>88</v>
      </c>
      <c r="D182" s="11" t="s">
        <v>907</v>
      </c>
      <c r="E182" s="12" t="s">
        <v>373</v>
      </c>
      <c r="F182" s="16" t="n">
        <v>3</v>
      </c>
      <c r="G182" s="12" t="s">
        <v>908</v>
      </c>
      <c r="H182" s="12" t="s">
        <v>909</v>
      </c>
      <c r="I182" s="12" t="s">
        <v>910</v>
      </c>
      <c r="J182" s="12"/>
      <c r="K182" s="17" t="s">
        <v>298</v>
      </c>
    </row>
    <row r="183" customFormat="false" ht="46.25" hidden="false" customHeight="false" outlineLevel="0" collapsed="false">
      <c r="A183" s="12" t="n">
        <v>182</v>
      </c>
      <c r="B183" s="12" t="s">
        <v>92</v>
      </c>
      <c r="C183" s="12" t="s">
        <v>911</v>
      </c>
      <c r="D183" s="11" t="s">
        <v>787</v>
      </c>
      <c r="E183" s="12" t="s">
        <v>301</v>
      </c>
      <c r="F183" s="16" t="n">
        <v>1</v>
      </c>
      <c r="G183" s="12" t="s">
        <v>912</v>
      </c>
      <c r="H183" s="12" t="s">
        <v>913</v>
      </c>
      <c r="I183" s="12" t="s">
        <v>914</v>
      </c>
      <c r="J183" s="12" t="s">
        <v>915</v>
      </c>
      <c r="K183" s="17" t="s">
        <v>298</v>
      </c>
    </row>
    <row r="184" customFormat="false" ht="35.05" hidden="false" customHeight="false" outlineLevel="0" collapsed="false">
      <c r="A184" s="12" t="n">
        <v>183</v>
      </c>
      <c r="B184" s="12" t="s">
        <v>92</v>
      </c>
      <c r="C184" s="12" t="s">
        <v>911</v>
      </c>
      <c r="D184" s="11" t="s">
        <v>850</v>
      </c>
      <c r="E184" s="12" t="s">
        <v>362</v>
      </c>
      <c r="F184" s="16" t="n">
        <v>1</v>
      </c>
      <c r="G184" s="12" t="s">
        <v>916</v>
      </c>
      <c r="H184" s="12" t="s">
        <v>917</v>
      </c>
      <c r="I184" s="12" t="s">
        <v>918</v>
      </c>
      <c r="J184" s="12" t="s">
        <v>919</v>
      </c>
      <c r="K184" s="17" t="s">
        <v>298</v>
      </c>
    </row>
    <row r="185" customFormat="false" ht="46.25" hidden="false" customHeight="false" outlineLevel="0" collapsed="false">
      <c r="A185" s="12" t="n">
        <v>184</v>
      </c>
      <c r="B185" s="12" t="s">
        <v>92</v>
      </c>
      <c r="C185" s="12" t="s">
        <v>911</v>
      </c>
      <c r="D185" s="11" t="s">
        <v>819</v>
      </c>
      <c r="E185" s="12" t="s">
        <v>355</v>
      </c>
      <c r="F185" s="16" t="n">
        <v>1</v>
      </c>
      <c r="G185" s="12" t="s">
        <v>920</v>
      </c>
      <c r="H185" s="12" t="s">
        <v>921</v>
      </c>
      <c r="I185" s="12" t="s">
        <v>922</v>
      </c>
      <c r="J185" s="12" t="s">
        <v>923</v>
      </c>
      <c r="K185" s="17" t="s">
        <v>298</v>
      </c>
    </row>
    <row r="186" customFormat="false" ht="35.05" hidden="false" customHeight="false" outlineLevel="0" collapsed="false">
      <c r="A186" s="12" t="n">
        <v>185</v>
      </c>
      <c r="B186" s="12" t="s">
        <v>92</v>
      </c>
      <c r="C186" s="12" t="s">
        <v>911</v>
      </c>
      <c r="D186" s="11" t="s">
        <v>824</v>
      </c>
      <c r="E186" s="12" t="s">
        <v>327</v>
      </c>
      <c r="F186" s="16" t="n">
        <v>1</v>
      </c>
      <c r="G186" s="12" t="s">
        <v>924</v>
      </c>
      <c r="H186" s="12" t="s">
        <v>925</v>
      </c>
      <c r="I186" s="12" t="s">
        <v>926</v>
      </c>
      <c r="J186" s="12" t="s">
        <v>927</v>
      </c>
      <c r="K186" s="17" t="s">
        <v>298</v>
      </c>
    </row>
    <row r="187" customFormat="false" ht="46.25" hidden="false" customHeight="false" outlineLevel="0" collapsed="false">
      <c r="A187" s="12" t="n">
        <v>186</v>
      </c>
      <c r="B187" s="12" t="s">
        <v>92</v>
      </c>
      <c r="C187" s="12" t="s">
        <v>928</v>
      </c>
      <c r="D187" s="11" t="s">
        <v>830</v>
      </c>
      <c r="E187" s="12" t="s">
        <v>293</v>
      </c>
      <c r="F187" s="16" t="n">
        <v>1</v>
      </c>
      <c r="G187" s="12" t="s">
        <v>929</v>
      </c>
      <c r="H187" s="12" t="s">
        <v>930</v>
      </c>
      <c r="I187" s="12" t="s">
        <v>931</v>
      </c>
      <c r="J187" s="12" t="s">
        <v>932</v>
      </c>
      <c r="K187" s="17" t="s">
        <v>298</v>
      </c>
    </row>
    <row r="188" customFormat="false" ht="35.05" hidden="false" customHeight="false" outlineLevel="0" collapsed="false">
      <c r="A188" s="12" t="n">
        <v>187</v>
      </c>
      <c r="B188" s="12" t="s">
        <v>92</v>
      </c>
      <c r="C188" s="12" t="s">
        <v>928</v>
      </c>
      <c r="D188" s="11" t="s">
        <v>933</v>
      </c>
      <c r="E188" s="12" t="s">
        <v>293</v>
      </c>
      <c r="F188" s="16" t="n">
        <v>1</v>
      </c>
      <c r="G188" s="12" t="s">
        <v>934</v>
      </c>
      <c r="H188" s="12" t="s">
        <v>935</v>
      </c>
      <c r="I188" s="12" t="s">
        <v>936</v>
      </c>
      <c r="J188" s="12" t="s">
        <v>937</v>
      </c>
      <c r="K188" s="17" t="s">
        <v>298</v>
      </c>
    </row>
    <row r="189" customFormat="false" ht="46.25" hidden="false" customHeight="false" outlineLevel="0" collapsed="false">
      <c r="A189" s="12" t="n">
        <v>188</v>
      </c>
      <c r="B189" s="12" t="s">
        <v>92</v>
      </c>
      <c r="C189" s="12" t="s">
        <v>938</v>
      </c>
      <c r="D189" s="11" t="s">
        <v>939</v>
      </c>
      <c r="E189" s="12" t="s">
        <v>320</v>
      </c>
      <c r="F189" s="16" t="n">
        <v>1</v>
      </c>
      <c r="G189" s="12" t="s">
        <v>940</v>
      </c>
      <c r="H189" s="12" t="s">
        <v>941</v>
      </c>
      <c r="I189" s="12" t="s">
        <v>942</v>
      </c>
      <c r="J189" s="12" t="s">
        <v>943</v>
      </c>
      <c r="K189" s="17" t="s">
        <v>298</v>
      </c>
    </row>
    <row r="190" customFormat="false" ht="35.05" hidden="false" customHeight="false" outlineLevel="0" collapsed="false">
      <c r="A190" s="12" t="n">
        <v>189</v>
      </c>
      <c r="B190" s="12" t="s">
        <v>92</v>
      </c>
      <c r="C190" s="12" t="s">
        <v>944</v>
      </c>
      <c r="D190" s="11" t="s">
        <v>870</v>
      </c>
      <c r="E190" s="12" t="s">
        <v>384</v>
      </c>
      <c r="F190" s="16" t="n">
        <v>1</v>
      </c>
      <c r="G190" s="12" t="s">
        <v>945</v>
      </c>
      <c r="H190" s="12" t="s">
        <v>946</v>
      </c>
      <c r="I190" s="12" t="s">
        <v>947</v>
      </c>
      <c r="J190" s="12" t="s">
        <v>948</v>
      </c>
      <c r="K190" s="17" t="s">
        <v>298</v>
      </c>
    </row>
    <row r="191" customFormat="false" ht="35.05" hidden="false" customHeight="false" outlineLevel="0" collapsed="false">
      <c r="A191" s="12" t="n">
        <v>190</v>
      </c>
      <c r="B191" s="12" t="s">
        <v>92</v>
      </c>
      <c r="C191" s="12" t="s">
        <v>949</v>
      </c>
      <c r="D191" s="11" t="s">
        <v>950</v>
      </c>
      <c r="E191" s="12" t="s">
        <v>434</v>
      </c>
      <c r="F191" s="16" t="n">
        <v>2</v>
      </c>
      <c r="G191" s="12" t="s">
        <v>951</v>
      </c>
      <c r="H191" s="12" t="s">
        <v>952</v>
      </c>
      <c r="I191" s="12" t="s">
        <v>953</v>
      </c>
      <c r="J191" s="12"/>
      <c r="K191" s="17" t="s">
        <v>298</v>
      </c>
    </row>
    <row r="192" customFormat="false" ht="35.05" hidden="false" customHeight="false" outlineLevel="0" collapsed="false">
      <c r="A192" s="12" t="n">
        <v>191</v>
      </c>
      <c r="B192" s="12" t="s">
        <v>92</v>
      </c>
      <c r="C192" s="12" t="s">
        <v>94</v>
      </c>
      <c r="D192" s="11" t="s">
        <v>841</v>
      </c>
      <c r="E192" s="12" t="s">
        <v>373</v>
      </c>
      <c r="F192" s="16" t="n">
        <v>2</v>
      </c>
      <c r="G192" s="12" t="s">
        <v>954</v>
      </c>
      <c r="H192" s="12" t="s">
        <v>955</v>
      </c>
      <c r="I192" s="12" t="s">
        <v>956</v>
      </c>
      <c r="J192" s="12"/>
      <c r="K192" s="17" t="s">
        <v>298</v>
      </c>
    </row>
    <row r="193" customFormat="false" ht="23.85" hidden="false" customHeight="false" outlineLevel="0" collapsed="false">
      <c r="A193" s="12" t="n">
        <v>192</v>
      </c>
      <c r="B193" s="12" t="s">
        <v>92</v>
      </c>
      <c r="C193" s="12" t="s">
        <v>911</v>
      </c>
      <c r="D193" s="11" t="s">
        <v>845</v>
      </c>
      <c r="E193" s="12" t="s">
        <v>362</v>
      </c>
      <c r="F193" s="16" t="n">
        <v>2</v>
      </c>
      <c r="G193" s="12" t="s">
        <v>957</v>
      </c>
      <c r="H193" s="12" t="s">
        <v>958</v>
      </c>
      <c r="I193" s="12" t="s">
        <v>959</v>
      </c>
      <c r="J193" s="12" t="s">
        <v>960</v>
      </c>
      <c r="K193" s="17" t="s">
        <v>298</v>
      </c>
    </row>
    <row r="194" customFormat="false" ht="57.45" hidden="false" customHeight="false" outlineLevel="0" collapsed="false">
      <c r="A194" s="12" t="n">
        <v>193</v>
      </c>
      <c r="B194" s="12" t="s">
        <v>92</v>
      </c>
      <c r="C194" s="12" t="s">
        <v>911</v>
      </c>
      <c r="D194" s="11" t="s">
        <v>855</v>
      </c>
      <c r="E194" s="12" t="s">
        <v>313</v>
      </c>
      <c r="F194" s="16" t="n">
        <v>2</v>
      </c>
      <c r="G194" s="12" t="s">
        <v>961</v>
      </c>
      <c r="H194" s="12" t="s">
        <v>962</v>
      </c>
      <c r="I194" s="12" t="s">
        <v>963</v>
      </c>
      <c r="J194" s="12" t="s">
        <v>964</v>
      </c>
      <c r="K194" s="17" t="s">
        <v>298</v>
      </c>
    </row>
    <row r="195" customFormat="false" ht="35.05" hidden="false" customHeight="false" outlineLevel="0" collapsed="false">
      <c r="A195" s="12" t="n">
        <v>194</v>
      </c>
      <c r="B195" s="12" t="s">
        <v>92</v>
      </c>
      <c r="C195" s="12" t="s">
        <v>911</v>
      </c>
      <c r="D195" s="11" t="s">
        <v>860</v>
      </c>
      <c r="E195" s="12" t="s">
        <v>301</v>
      </c>
      <c r="F195" s="16" t="n">
        <v>2</v>
      </c>
      <c r="G195" s="12" t="s">
        <v>965</v>
      </c>
      <c r="H195" s="12" t="s">
        <v>966</v>
      </c>
      <c r="I195" s="12" t="s">
        <v>967</v>
      </c>
      <c r="J195" s="12" t="s">
        <v>968</v>
      </c>
      <c r="K195" s="17" t="s">
        <v>298</v>
      </c>
    </row>
    <row r="196" customFormat="false" ht="35.05" hidden="false" customHeight="false" outlineLevel="0" collapsed="false">
      <c r="A196" s="12" t="n">
        <v>195</v>
      </c>
      <c r="B196" s="12" t="s">
        <v>92</v>
      </c>
      <c r="C196" s="12" t="s">
        <v>911</v>
      </c>
      <c r="D196" s="11" t="s">
        <v>865</v>
      </c>
      <c r="E196" s="12" t="s">
        <v>355</v>
      </c>
      <c r="F196" s="16" t="n">
        <v>2</v>
      </c>
      <c r="G196" s="12" t="s">
        <v>969</v>
      </c>
      <c r="H196" s="12" t="s">
        <v>970</v>
      </c>
      <c r="I196" s="12" t="s">
        <v>971</v>
      </c>
      <c r="J196" s="12" t="s">
        <v>972</v>
      </c>
      <c r="K196" s="17" t="s">
        <v>298</v>
      </c>
    </row>
    <row r="197" customFormat="false" ht="35.05" hidden="false" customHeight="false" outlineLevel="0" collapsed="false">
      <c r="A197" s="12" t="n">
        <v>196</v>
      </c>
      <c r="B197" s="12" t="s">
        <v>92</v>
      </c>
      <c r="C197" s="12" t="s">
        <v>944</v>
      </c>
      <c r="D197" s="11" t="s">
        <v>874</v>
      </c>
      <c r="E197" s="12" t="s">
        <v>384</v>
      </c>
      <c r="F197" s="16" t="n">
        <v>2</v>
      </c>
      <c r="G197" s="12" t="s">
        <v>973</v>
      </c>
      <c r="H197" s="12" t="s">
        <v>974</v>
      </c>
      <c r="I197" s="12" t="s">
        <v>975</v>
      </c>
      <c r="J197" s="12" t="s">
        <v>976</v>
      </c>
      <c r="K197" s="17" t="s">
        <v>298</v>
      </c>
    </row>
    <row r="198" customFormat="false" ht="35.05" hidden="false" customHeight="false" outlineLevel="0" collapsed="false">
      <c r="A198" s="12" t="n">
        <v>197</v>
      </c>
      <c r="B198" s="12" t="s">
        <v>92</v>
      </c>
      <c r="C198" s="12" t="s">
        <v>944</v>
      </c>
      <c r="D198" s="11" t="s">
        <v>899</v>
      </c>
      <c r="E198" s="12" t="s">
        <v>384</v>
      </c>
      <c r="F198" s="16" t="n">
        <v>2</v>
      </c>
      <c r="G198" s="12" t="s">
        <v>977</v>
      </c>
      <c r="H198" s="12" t="s">
        <v>978</v>
      </c>
      <c r="I198" s="12" t="s">
        <v>979</v>
      </c>
      <c r="J198" s="12" t="s">
        <v>980</v>
      </c>
      <c r="K198" s="17" t="s">
        <v>298</v>
      </c>
    </row>
    <row r="199" customFormat="false" ht="35.05" hidden="false" customHeight="false" outlineLevel="0" collapsed="false">
      <c r="A199" s="12" t="n">
        <v>198</v>
      </c>
      <c r="B199" s="12" t="s">
        <v>92</v>
      </c>
      <c r="C199" s="12" t="s">
        <v>94</v>
      </c>
      <c r="D199" s="11" t="s">
        <v>404</v>
      </c>
      <c r="E199" s="12" t="s">
        <v>313</v>
      </c>
      <c r="F199" s="16" t="n">
        <v>3</v>
      </c>
      <c r="G199" s="12" t="s">
        <v>981</v>
      </c>
      <c r="H199" s="12" t="s">
        <v>982</v>
      </c>
      <c r="I199" s="12" t="s">
        <v>881</v>
      </c>
      <c r="J199" s="12"/>
      <c r="K199" s="17" t="s">
        <v>298</v>
      </c>
    </row>
    <row r="200" customFormat="false" ht="23.85" hidden="false" customHeight="false" outlineLevel="0" collapsed="false">
      <c r="A200" s="12" t="n">
        <v>199</v>
      </c>
      <c r="B200" s="12" t="s">
        <v>92</v>
      </c>
      <c r="C200" s="12" t="s">
        <v>94</v>
      </c>
      <c r="D200" s="11" t="s">
        <v>882</v>
      </c>
      <c r="E200" s="12" t="s">
        <v>313</v>
      </c>
      <c r="F200" s="16" t="n">
        <v>3</v>
      </c>
      <c r="G200" s="12" t="s">
        <v>983</v>
      </c>
      <c r="H200" s="12"/>
      <c r="I200" s="12"/>
      <c r="J200" s="12"/>
      <c r="K200" s="17" t="s">
        <v>298</v>
      </c>
    </row>
    <row r="201" customFormat="false" ht="35.05" hidden="false" customHeight="false" outlineLevel="0" collapsed="false">
      <c r="A201" s="12" t="n">
        <v>200</v>
      </c>
      <c r="B201" s="12" t="s">
        <v>92</v>
      </c>
      <c r="C201" s="12" t="s">
        <v>94</v>
      </c>
      <c r="D201" s="11" t="s">
        <v>409</v>
      </c>
      <c r="E201" s="12" t="s">
        <v>410</v>
      </c>
      <c r="F201" s="16" t="n">
        <v>3</v>
      </c>
      <c r="G201" s="12" t="s">
        <v>984</v>
      </c>
      <c r="H201" s="12"/>
      <c r="I201" s="12" t="s">
        <v>985</v>
      </c>
      <c r="J201" s="12"/>
      <c r="K201" s="17" t="s">
        <v>298</v>
      </c>
    </row>
    <row r="202" customFormat="false" ht="23.85" hidden="false" customHeight="false" outlineLevel="0" collapsed="false">
      <c r="A202" s="12" t="n">
        <v>201</v>
      </c>
      <c r="B202" s="12" t="s">
        <v>92</v>
      </c>
      <c r="C202" s="12" t="s">
        <v>94</v>
      </c>
      <c r="D202" s="11" t="s">
        <v>412</v>
      </c>
      <c r="E202" s="12" t="s">
        <v>410</v>
      </c>
      <c r="F202" s="16" t="n">
        <v>3</v>
      </c>
      <c r="G202" s="12" t="s">
        <v>986</v>
      </c>
      <c r="H202" s="12"/>
      <c r="I202" s="12" t="s">
        <v>987</v>
      </c>
      <c r="J202" s="12"/>
      <c r="K202" s="17" t="s">
        <v>298</v>
      </c>
    </row>
    <row r="203" customFormat="false" ht="35.05" hidden="false" customHeight="false" outlineLevel="0" collapsed="false">
      <c r="A203" s="12" t="n">
        <v>202</v>
      </c>
      <c r="B203" s="12" t="s">
        <v>92</v>
      </c>
      <c r="C203" s="12" t="s">
        <v>94</v>
      </c>
      <c r="D203" s="11" t="s">
        <v>414</v>
      </c>
      <c r="E203" s="12" t="s">
        <v>384</v>
      </c>
      <c r="F203" s="16" t="n">
        <v>3</v>
      </c>
      <c r="G203" s="12" t="s">
        <v>988</v>
      </c>
      <c r="H203" s="12"/>
      <c r="I203" s="12" t="s">
        <v>989</v>
      </c>
      <c r="J203" s="12"/>
      <c r="K203" s="17" t="s">
        <v>298</v>
      </c>
    </row>
    <row r="204" customFormat="false" ht="35.05" hidden="false" customHeight="false" outlineLevel="0" collapsed="false">
      <c r="A204" s="12" t="n">
        <v>203</v>
      </c>
      <c r="B204" s="12" t="s">
        <v>92</v>
      </c>
      <c r="C204" s="12" t="s">
        <v>949</v>
      </c>
      <c r="D204" s="11" t="s">
        <v>990</v>
      </c>
      <c r="E204" s="12" t="s">
        <v>780</v>
      </c>
      <c r="F204" s="16" t="n">
        <v>3</v>
      </c>
      <c r="G204" s="12" t="s">
        <v>991</v>
      </c>
      <c r="H204" s="12" t="s">
        <v>992</v>
      </c>
      <c r="I204" s="12" t="s">
        <v>993</v>
      </c>
      <c r="J204" s="12"/>
      <c r="K204" s="17" t="s">
        <v>298</v>
      </c>
    </row>
    <row r="205" customFormat="false" ht="23.85" hidden="false" customHeight="false" outlineLevel="0" collapsed="false">
      <c r="A205" s="12" t="n">
        <v>204</v>
      </c>
      <c r="B205" s="12" t="s">
        <v>92</v>
      </c>
      <c r="C205" s="12" t="s">
        <v>994</v>
      </c>
      <c r="D205" s="11" t="s">
        <v>779</v>
      </c>
      <c r="E205" s="12" t="s">
        <v>780</v>
      </c>
      <c r="F205" s="16" t="n">
        <v>3</v>
      </c>
      <c r="G205" s="12" t="s">
        <v>995</v>
      </c>
      <c r="H205" s="12"/>
      <c r="I205" s="12" t="s">
        <v>893</v>
      </c>
      <c r="J205" s="12"/>
      <c r="K205" s="17" t="s">
        <v>298</v>
      </c>
    </row>
    <row r="206" customFormat="false" ht="23.85" hidden="false" customHeight="false" outlineLevel="0" collapsed="false">
      <c r="A206" s="12" t="n">
        <v>205</v>
      </c>
      <c r="B206" s="12" t="s">
        <v>92</v>
      </c>
      <c r="C206" s="12" t="s">
        <v>996</v>
      </c>
      <c r="D206" s="11" t="s">
        <v>997</v>
      </c>
      <c r="E206" s="12" t="s">
        <v>373</v>
      </c>
      <c r="F206" s="16" t="n">
        <v>3</v>
      </c>
      <c r="G206" s="12" t="s">
        <v>998</v>
      </c>
      <c r="H206" s="12" t="s">
        <v>999</v>
      </c>
      <c r="I206" s="12" t="s">
        <v>1000</v>
      </c>
      <c r="J206" s="12"/>
      <c r="K206" s="17" t="s">
        <v>298</v>
      </c>
    </row>
    <row r="207" customFormat="false" ht="23.85" hidden="false" customHeight="false" outlineLevel="0" collapsed="false">
      <c r="A207" s="12" t="n">
        <v>206</v>
      </c>
      <c r="B207" s="12" t="s">
        <v>92</v>
      </c>
      <c r="C207" s="12" t="s">
        <v>911</v>
      </c>
      <c r="D207" s="11" t="s">
        <v>894</v>
      </c>
      <c r="E207" s="12" t="s">
        <v>373</v>
      </c>
      <c r="F207" s="16" t="n">
        <v>3</v>
      </c>
      <c r="G207" s="12" t="s">
        <v>1001</v>
      </c>
      <c r="H207" s="12" t="s">
        <v>1002</v>
      </c>
      <c r="I207" s="12" t="s">
        <v>1003</v>
      </c>
      <c r="J207" s="12" t="s">
        <v>1004</v>
      </c>
      <c r="K207" s="17" t="s">
        <v>298</v>
      </c>
    </row>
    <row r="208" customFormat="false" ht="23.85" hidden="false" customHeight="false" outlineLevel="0" collapsed="false">
      <c r="A208" s="12" t="n">
        <v>207</v>
      </c>
      <c r="B208" s="12" t="s">
        <v>92</v>
      </c>
      <c r="C208" s="12" t="s">
        <v>94</v>
      </c>
      <c r="D208" s="11" t="s">
        <v>903</v>
      </c>
      <c r="E208" s="12" t="s">
        <v>373</v>
      </c>
      <c r="F208" s="16" t="n">
        <v>3</v>
      </c>
      <c r="G208" s="12" t="s">
        <v>1005</v>
      </c>
      <c r="H208" s="12" t="s">
        <v>1006</v>
      </c>
      <c r="I208" s="12" t="s">
        <v>906</v>
      </c>
      <c r="J208" s="12"/>
      <c r="K208" s="17" t="s">
        <v>298</v>
      </c>
    </row>
    <row r="209" customFormat="false" ht="35.05" hidden="false" customHeight="false" outlineLevel="0" collapsed="false">
      <c r="A209" s="12" t="n">
        <v>208</v>
      </c>
      <c r="B209" s="12" t="s">
        <v>92</v>
      </c>
      <c r="C209" s="12" t="s">
        <v>94</v>
      </c>
      <c r="D209" s="11" t="s">
        <v>907</v>
      </c>
      <c r="E209" s="12" t="s">
        <v>373</v>
      </c>
      <c r="F209" s="16" t="n">
        <v>3</v>
      </c>
      <c r="G209" s="12" t="s">
        <v>1007</v>
      </c>
      <c r="H209" s="12" t="s">
        <v>1008</v>
      </c>
      <c r="I209" s="12" t="s">
        <v>1009</v>
      </c>
      <c r="J209" s="12" t="s">
        <v>1010</v>
      </c>
      <c r="K209" s="17" t="s">
        <v>298</v>
      </c>
    </row>
    <row r="210" customFormat="false" ht="35.05" hidden="false" customHeight="false" outlineLevel="0" collapsed="false">
      <c r="A210" s="12" t="n">
        <v>209</v>
      </c>
      <c r="B210" s="12" t="s">
        <v>98</v>
      </c>
      <c r="C210" s="12" t="s">
        <v>1011</v>
      </c>
      <c r="D210" s="11" t="s">
        <v>1012</v>
      </c>
      <c r="E210" s="12" t="s">
        <v>327</v>
      </c>
      <c r="F210" s="16" t="n">
        <v>1</v>
      </c>
      <c r="G210" s="12" t="s">
        <v>1013</v>
      </c>
      <c r="H210" s="12" t="s">
        <v>1014</v>
      </c>
      <c r="I210" s="12" t="s">
        <v>1015</v>
      </c>
      <c r="J210" s="12" t="s">
        <v>1016</v>
      </c>
      <c r="K210" s="17" t="s">
        <v>298</v>
      </c>
    </row>
    <row r="211" customFormat="false" ht="46.25" hidden="false" customHeight="false" outlineLevel="0" collapsed="false">
      <c r="A211" s="12" t="n">
        <v>210</v>
      </c>
      <c r="B211" s="12" t="s">
        <v>98</v>
      </c>
      <c r="C211" s="12" t="s">
        <v>1017</v>
      </c>
      <c r="D211" s="11" t="s">
        <v>1018</v>
      </c>
      <c r="E211" s="12" t="s">
        <v>313</v>
      </c>
      <c r="F211" s="16" t="n">
        <v>1</v>
      </c>
      <c r="G211" s="12" t="s">
        <v>1019</v>
      </c>
      <c r="H211" s="12" t="s">
        <v>1020</v>
      </c>
      <c r="I211" s="12" t="s">
        <v>1021</v>
      </c>
      <c r="J211" s="12" t="s">
        <v>1022</v>
      </c>
      <c r="K211" s="17" t="s">
        <v>298</v>
      </c>
    </row>
    <row r="212" customFormat="false" ht="46.25" hidden="false" customHeight="false" outlineLevel="0" collapsed="false">
      <c r="A212" s="12" t="n">
        <v>211</v>
      </c>
      <c r="B212" s="12" t="s">
        <v>98</v>
      </c>
      <c r="C212" s="12" t="s">
        <v>1023</v>
      </c>
      <c r="D212" s="11" t="s">
        <v>1024</v>
      </c>
      <c r="E212" s="12" t="s">
        <v>293</v>
      </c>
      <c r="F212" s="16" t="n">
        <v>1</v>
      </c>
      <c r="G212" s="12" t="s">
        <v>1025</v>
      </c>
      <c r="H212" s="12" t="s">
        <v>1026</v>
      </c>
      <c r="I212" s="12" t="s">
        <v>1027</v>
      </c>
      <c r="J212" s="12" t="s">
        <v>1028</v>
      </c>
      <c r="K212" s="17" t="s">
        <v>298</v>
      </c>
    </row>
    <row r="213" customFormat="false" ht="46.25" hidden="false" customHeight="false" outlineLevel="0" collapsed="false">
      <c r="A213" s="12" t="n">
        <v>212</v>
      </c>
      <c r="B213" s="12" t="s">
        <v>98</v>
      </c>
      <c r="C213" s="12" t="s">
        <v>1023</v>
      </c>
      <c r="D213" s="11" t="s">
        <v>1029</v>
      </c>
      <c r="E213" s="12" t="s">
        <v>293</v>
      </c>
      <c r="F213" s="16" t="n">
        <v>1</v>
      </c>
      <c r="G213" s="12" t="s">
        <v>1030</v>
      </c>
      <c r="H213" s="12" t="s">
        <v>1031</v>
      </c>
      <c r="I213" s="12" t="s">
        <v>1032</v>
      </c>
      <c r="J213" s="12" t="s">
        <v>1033</v>
      </c>
      <c r="K213" s="17" t="s">
        <v>298</v>
      </c>
    </row>
    <row r="214" customFormat="false" ht="35.05" hidden="false" customHeight="false" outlineLevel="0" collapsed="false">
      <c r="A214" s="12" t="n">
        <v>213</v>
      </c>
      <c r="B214" s="12" t="s">
        <v>98</v>
      </c>
      <c r="C214" s="12" t="s">
        <v>1034</v>
      </c>
      <c r="D214" s="11" t="s">
        <v>1035</v>
      </c>
      <c r="E214" s="12" t="s">
        <v>293</v>
      </c>
      <c r="F214" s="16" t="n">
        <v>1</v>
      </c>
      <c r="G214" s="12" t="s">
        <v>1036</v>
      </c>
      <c r="H214" s="12" t="s">
        <v>1037</v>
      </c>
      <c r="I214" s="12" t="s">
        <v>1038</v>
      </c>
      <c r="J214" s="12" t="s">
        <v>1039</v>
      </c>
      <c r="K214" s="17" t="s">
        <v>298</v>
      </c>
    </row>
    <row r="215" customFormat="false" ht="46.25" hidden="false" customHeight="false" outlineLevel="0" collapsed="false">
      <c r="A215" s="12" t="n">
        <v>214</v>
      </c>
      <c r="B215" s="12" t="s">
        <v>98</v>
      </c>
      <c r="C215" s="12" t="s">
        <v>1040</v>
      </c>
      <c r="D215" s="11" t="s">
        <v>1041</v>
      </c>
      <c r="E215" s="12" t="s">
        <v>355</v>
      </c>
      <c r="F215" s="16" t="n">
        <v>1</v>
      </c>
      <c r="G215" s="12" t="s">
        <v>1042</v>
      </c>
      <c r="H215" s="12" t="s">
        <v>1043</v>
      </c>
      <c r="I215" s="12" t="s">
        <v>1044</v>
      </c>
      <c r="J215" s="12" t="s">
        <v>1045</v>
      </c>
      <c r="K215" s="17" t="s">
        <v>298</v>
      </c>
    </row>
    <row r="216" customFormat="false" ht="46.25" hidden="false" customHeight="false" outlineLevel="0" collapsed="false">
      <c r="A216" s="12" t="n">
        <v>215</v>
      </c>
      <c r="B216" s="12" t="s">
        <v>98</v>
      </c>
      <c r="C216" s="12" t="s">
        <v>1040</v>
      </c>
      <c r="D216" s="11" t="s">
        <v>1046</v>
      </c>
      <c r="E216" s="12" t="s">
        <v>293</v>
      </c>
      <c r="F216" s="16" t="n">
        <v>1</v>
      </c>
      <c r="G216" s="12" t="s">
        <v>1047</v>
      </c>
      <c r="H216" s="12" t="s">
        <v>1048</v>
      </c>
      <c r="I216" s="12" t="s">
        <v>1049</v>
      </c>
      <c r="J216" s="12" t="s">
        <v>1050</v>
      </c>
      <c r="K216" s="17" t="s">
        <v>298</v>
      </c>
    </row>
    <row r="217" customFormat="false" ht="35.05" hidden="false" customHeight="false" outlineLevel="0" collapsed="false">
      <c r="A217" s="12" t="n">
        <v>216</v>
      </c>
      <c r="B217" s="12" t="s">
        <v>98</v>
      </c>
      <c r="C217" s="12" t="s">
        <v>1051</v>
      </c>
      <c r="D217" s="11" t="s">
        <v>1052</v>
      </c>
      <c r="E217" s="12" t="s">
        <v>320</v>
      </c>
      <c r="F217" s="16" t="n">
        <v>1</v>
      </c>
      <c r="G217" s="12" t="s">
        <v>1053</v>
      </c>
      <c r="H217" s="12" t="s">
        <v>1054</v>
      </c>
      <c r="I217" s="12" t="s">
        <v>1055</v>
      </c>
      <c r="J217" s="12" t="s">
        <v>1056</v>
      </c>
      <c r="K217" s="17" t="s">
        <v>298</v>
      </c>
    </row>
    <row r="218" customFormat="false" ht="35.05" hidden="false" customHeight="false" outlineLevel="0" collapsed="false">
      <c r="A218" s="12" t="n">
        <v>217</v>
      </c>
      <c r="B218" s="12" t="s">
        <v>98</v>
      </c>
      <c r="C218" s="12" t="s">
        <v>1057</v>
      </c>
      <c r="D218" s="11" t="s">
        <v>1058</v>
      </c>
      <c r="E218" s="12" t="s">
        <v>362</v>
      </c>
      <c r="F218" s="16" t="n">
        <v>1</v>
      </c>
      <c r="G218" s="12" t="s">
        <v>1059</v>
      </c>
      <c r="H218" s="12" t="s">
        <v>1060</v>
      </c>
      <c r="I218" s="12" t="s">
        <v>1061</v>
      </c>
      <c r="J218" s="12" t="s">
        <v>1062</v>
      </c>
      <c r="K218" s="17" t="s">
        <v>298</v>
      </c>
    </row>
    <row r="219" customFormat="false" ht="35.05" hidden="false" customHeight="false" outlineLevel="0" collapsed="false">
      <c r="A219" s="12" t="n">
        <v>218</v>
      </c>
      <c r="B219" s="12" t="s">
        <v>98</v>
      </c>
      <c r="C219" s="12" t="s">
        <v>1063</v>
      </c>
      <c r="D219" s="11" t="s">
        <v>1064</v>
      </c>
      <c r="E219" s="12" t="s">
        <v>301</v>
      </c>
      <c r="F219" s="16" t="n">
        <v>1</v>
      </c>
      <c r="G219" s="12" t="s">
        <v>1065</v>
      </c>
      <c r="H219" s="12" t="s">
        <v>1066</v>
      </c>
      <c r="I219" s="12" t="s">
        <v>1067</v>
      </c>
      <c r="J219" s="12" t="s">
        <v>1068</v>
      </c>
      <c r="K219" s="17" t="s">
        <v>298</v>
      </c>
    </row>
    <row r="220" customFormat="false" ht="23.85" hidden="false" customHeight="false" outlineLevel="0" collapsed="false">
      <c r="A220" s="12" t="n">
        <v>219</v>
      </c>
      <c r="B220" s="12" t="s">
        <v>98</v>
      </c>
      <c r="C220" s="12" t="s">
        <v>1063</v>
      </c>
      <c r="D220" s="11" t="s">
        <v>1069</v>
      </c>
      <c r="E220" s="12" t="s">
        <v>362</v>
      </c>
      <c r="F220" s="16" t="n">
        <v>1</v>
      </c>
      <c r="G220" s="12" t="s">
        <v>1070</v>
      </c>
      <c r="H220" s="12" t="s">
        <v>1071</v>
      </c>
      <c r="I220" s="12" t="s">
        <v>1072</v>
      </c>
      <c r="J220" s="12" t="s">
        <v>1073</v>
      </c>
      <c r="K220" s="17" t="s">
        <v>298</v>
      </c>
    </row>
    <row r="221" customFormat="false" ht="35.05" hidden="false" customHeight="false" outlineLevel="0" collapsed="false">
      <c r="A221" s="12" t="n">
        <v>220</v>
      </c>
      <c r="B221" s="12" t="s">
        <v>98</v>
      </c>
      <c r="C221" s="12" t="s">
        <v>1063</v>
      </c>
      <c r="D221" s="11" t="s">
        <v>1074</v>
      </c>
      <c r="E221" s="12" t="s">
        <v>362</v>
      </c>
      <c r="F221" s="16" t="n">
        <v>1</v>
      </c>
      <c r="G221" s="12" t="s">
        <v>1075</v>
      </c>
      <c r="H221" s="12" t="s">
        <v>1076</v>
      </c>
      <c r="I221" s="12" t="s">
        <v>1077</v>
      </c>
      <c r="J221" s="12" t="s">
        <v>1078</v>
      </c>
      <c r="K221" s="17" t="s">
        <v>298</v>
      </c>
    </row>
    <row r="222" customFormat="false" ht="35.05" hidden="false" customHeight="false" outlineLevel="0" collapsed="false">
      <c r="A222" s="12" t="n">
        <v>221</v>
      </c>
      <c r="B222" s="12" t="s">
        <v>98</v>
      </c>
      <c r="C222" s="12" t="s">
        <v>1079</v>
      </c>
      <c r="D222" s="11" t="s">
        <v>1080</v>
      </c>
      <c r="E222" s="12" t="s">
        <v>780</v>
      </c>
      <c r="F222" s="16" t="n">
        <v>2</v>
      </c>
      <c r="G222" s="12" t="s">
        <v>1081</v>
      </c>
      <c r="H222" s="12"/>
      <c r="I222" s="12" t="s">
        <v>1082</v>
      </c>
      <c r="J222" s="12"/>
      <c r="K222" s="17" t="s">
        <v>298</v>
      </c>
    </row>
    <row r="223" customFormat="false" ht="23.85" hidden="false" customHeight="false" outlineLevel="0" collapsed="false">
      <c r="A223" s="12" t="n">
        <v>222</v>
      </c>
      <c r="B223" s="12" t="s">
        <v>98</v>
      </c>
      <c r="C223" s="12" t="s">
        <v>1017</v>
      </c>
      <c r="D223" s="11" t="s">
        <v>1083</v>
      </c>
      <c r="E223" s="12" t="s">
        <v>313</v>
      </c>
      <c r="F223" s="16" t="n">
        <v>2</v>
      </c>
      <c r="G223" s="12" t="s">
        <v>1084</v>
      </c>
      <c r="H223" s="12" t="s">
        <v>1085</v>
      </c>
      <c r="I223" s="12" t="s">
        <v>1086</v>
      </c>
      <c r="J223" s="12" t="s">
        <v>1087</v>
      </c>
      <c r="K223" s="17" t="s">
        <v>298</v>
      </c>
    </row>
    <row r="224" customFormat="false" ht="35.05" hidden="false" customHeight="false" outlineLevel="0" collapsed="false">
      <c r="A224" s="12" t="n">
        <v>223</v>
      </c>
      <c r="B224" s="12" t="s">
        <v>98</v>
      </c>
      <c r="C224" s="12" t="s">
        <v>1017</v>
      </c>
      <c r="D224" s="11" t="s">
        <v>1088</v>
      </c>
      <c r="E224" s="12" t="s">
        <v>313</v>
      </c>
      <c r="F224" s="16" t="n">
        <v>2</v>
      </c>
      <c r="G224" s="12" t="s">
        <v>1089</v>
      </c>
      <c r="H224" s="12" t="s">
        <v>1090</v>
      </c>
      <c r="I224" s="12" t="s">
        <v>1091</v>
      </c>
      <c r="J224" s="12" t="s">
        <v>1092</v>
      </c>
      <c r="K224" s="17" t="s">
        <v>298</v>
      </c>
    </row>
    <row r="225" customFormat="false" ht="23.85" hidden="false" customHeight="false" outlineLevel="0" collapsed="false">
      <c r="A225" s="12" t="n">
        <v>224</v>
      </c>
      <c r="B225" s="12" t="s">
        <v>98</v>
      </c>
      <c r="C225" s="12" t="s">
        <v>1093</v>
      </c>
      <c r="D225" s="11" t="s">
        <v>1094</v>
      </c>
      <c r="E225" s="12" t="s">
        <v>355</v>
      </c>
      <c r="F225" s="16" t="n">
        <v>2</v>
      </c>
      <c r="G225" s="12" t="s">
        <v>1095</v>
      </c>
      <c r="H225" s="12" t="s">
        <v>1096</v>
      </c>
      <c r="I225" s="12" t="s">
        <v>1097</v>
      </c>
      <c r="J225" s="12" t="s">
        <v>1098</v>
      </c>
      <c r="K225" s="17" t="s">
        <v>298</v>
      </c>
    </row>
    <row r="226" customFormat="false" ht="23.85" hidden="false" customHeight="false" outlineLevel="0" collapsed="false">
      <c r="A226" s="12" t="n">
        <v>225</v>
      </c>
      <c r="B226" s="12" t="s">
        <v>98</v>
      </c>
      <c r="C226" s="12" t="s">
        <v>1093</v>
      </c>
      <c r="D226" s="11" t="s">
        <v>1099</v>
      </c>
      <c r="E226" s="12" t="s">
        <v>355</v>
      </c>
      <c r="F226" s="16" t="n">
        <v>2</v>
      </c>
      <c r="G226" s="12" t="s">
        <v>1100</v>
      </c>
      <c r="H226" s="12" t="s">
        <v>1101</v>
      </c>
      <c r="I226" s="12" t="s">
        <v>1102</v>
      </c>
      <c r="J226" s="12"/>
      <c r="K226" s="17" t="s">
        <v>298</v>
      </c>
    </row>
    <row r="227" customFormat="false" ht="23.85" hidden="false" customHeight="false" outlineLevel="0" collapsed="false">
      <c r="A227" s="12" t="n">
        <v>226</v>
      </c>
      <c r="B227" s="12" t="s">
        <v>98</v>
      </c>
      <c r="C227" s="12" t="s">
        <v>1093</v>
      </c>
      <c r="D227" s="11" t="s">
        <v>1103</v>
      </c>
      <c r="E227" s="12" t="s">
        <v>355</v>
      </c>
      <c r="F227" s="16" t="n">
        <v>2</v>
      </c>
      <c r="G227" s="12" t="s">
        <v>1104</v>
      </c>
      <c r="H227" s="12" t="s">
        <v>1105</v>
      </c>
      <c r="I227" s="12" t="s">
        <v>1106</v>
      </c>
      <c r="J227" s="12" t="s">
        <v>1107</v>
      </c>
      <c r="K227" s="17" t="s">
        <v>298</v>
      </c>
    </row>
    <row r="228" customFormat="false" ht="35.05" hidden="false" customHeight="false" outlineLevel="0" collapsed="false">
      <c r="A228" s="12" t="n">
        <v>227</v>
      </c>
      <c r="B228" s="12" t="s">
        <v>98</v>
      </c>
      <c r="C228" s="12" t="s">
        <v>1023</v>
      </c>
      <c r="D228" s="11" t="s">
        <v>1108</v>
      </c>
      <c r="E228" s="12" t="s">
        <v>355</v>
      </c>
      <c r="F228" s="16" t="n">
        <v>2</v>
      </c>
      <c r="G228" s="12" t="s">
        <v>1109</v>
      </c>
      <c r="H228" s="12" t="s">
        <v>1110</v>
      </c>
      <c r="I228" s="12" t="s">
        <v>1111</v>
      </c>
      <c r="J228" s="12" t="s">
        <v>1112</v>
      </c>
      <c r="K228" s="17" t="s">
        <v>298</v>
      </c>
    </row>
    <row r="229" customFormat="false" ht="23.85" hidden="false" customHeight="false" outlineLevel="0" collapsed="false">
      <c r="A229" s="12" t="n">
        <v>228</v>
      </c>
      <c r="B229" s="12" t="s">
        <v>98</v>
      </c>
      <c r="C229" s="12" t="s">
        <v>1051</v>
      </c>
      <c r="D229" s="11" t="s">
        <v>1113</v>
      </c>
      <c r="E229" s="12" t="s">
        <v>320</v>
      </c>
      <c r="F229" s="16" t="n">
        <v>2</v>
      </c>
      <c r="G229" s="12" t="s">
        <v>1114</v>
      </c>
      <c r="H229" s="12" t="s">
        <v>1115</v>
      </c>
      <c r="I229" s="12" t="s">
        <v>1116</v>
      </c>
      <c r="J229" s="12" t="s">
        <v>1117</v>
      </c>
      <c r="K229" s="17" t="s">
        <v>298</v>
      </c>
    </row>
    <row r="230" customFormat="false" ht="35.05" hidden="false" customHeight="false" outlineLevel="0" collapsed="false">
      <c r="A230" s="12" t="n">
        <v>229</v>
      </c>
      <c r="B230" s="12" t="s">
        <v>98</v>
      </c>
      <c r="C230" s="12" t="s">
        <v>1057</v>
      </c>
      <c r="D230" s="11" t="s">
        <v>1118</v>
      </c>
      <c r="E230" s="12" t="s">
        <v>313</v>
      </c>
      <c r="F230" s="16" t="n">
        <v>2</v>
      </c>
      <c r="G230" s="12" t="s">
        <v>1119</v>
      </c>
      <c r="H230" s="12" t="s">
        <v>1120</v>
      </c>
      <c r="I230" s="12" t="s">
        <v>1121</v>
      </c>
      <c r="J230" s="12" t="s">
        <v>1122</v>
      </c>
      <c r="K230" s="17" t="s">
        <v>298</v>
      </c>
    </row>
    <row r="231" customFormat="false" ht="35.05" hidden="false" customHeight="false" outlineLevel="0" collapsed="false">
      <c r="A231" s="12" t="n">
        <v>230</v>
      </c>
      <c r="B231" s="12" t="s">
        <v>98</v>
      </c>
      <c r="C231" s="12" t="s">
        <v>1063</v>
      </c>
      <c r="D231" s="11" t="s">
        <v>1123</v>
      </c>
      <c r="E231" s="12" t="s">
        <v>301</v>
      </c>
      <c r="F231" s="16" t="n">
        <v>2</v>
      </c>
      <c r="G231" s="12" t="s">
        <v>1124</v>
      </c>
      <c r="H231" s="12" t="s">
        <v>1125</v>
      </c>
      <c r="I231" s="12" t="s">
        <v>1126</v>
      </c>
      <c r="J231" s="12" t="s">
        <v>1127</v>
      </c>
      <c r="K231" s="17" t="s">
        <v>298</v>
      </c>
    </row>
    <row r="232" customFormat="false" ht="23.85" hidden="false" customHeight="false" outlineLevel="0" collapsed="false">
      <c r="A232" s="12" t="n">
        <v>231</v>
      </c>
      <c r="B232" s="12" t="s">
        <v>98</v>
      </c>
      <c r="C232" s="12" t="s">
        <v>1063</v>
      </c>
      <c r="D232" s="11" t="s">
        <v>1128</v>
      </c>
      <c r="E232" s="12" t="s">
        <v>301</v>
      </c>
      <c r="F232" s="16" t="n">
        <v>2</v>
      </c>
      <c r="G232" s="12" t="s">
        <v>1129</v>
      </c>
      <c r="H232" s="12" t="s">
        <v>1130</v>
      </c>
      <c r="I232" s="12" t="s">
        <v>1131</v>
      </c>
      <c r="J232" s="12" t="s">
        <v>1132</v>
      </c>
      <c r="K232" s="17" t="s">
        <v>298</v>
      </c>
    </row>
    <row r="233" customFormat="false" ht="35.05" hidden="false" customHeight="false" outlineLevel="0" collapsed="false">
      <c r="A233" s="12" t="n">
        <v>232</v>
      </c>
      <c r="B233" s="12" t="s">
        <v>98</v>
      </c>
      <c r="C233" s="12" t="s">
        <v>1063</v>
      </c>
      <c r="D233" s="11" t="s">
        <v>1133</v>
      </c>
      <c r="E233" s="12" t="s">
        <v>301</v>
      </c>
      <c r="F233" s="16" t="n">
        <v>2</v>
      </c>
      <c r="G233" s="12" t="s">
        <v>1134</v>
      </c>
      <c r="H233" s="12" t="s">
        <v>1135</v>
      </c>
      <c r="I233" s="12" t="s">
        <v>1136</v>
      </c>
      <c r="J233" s="12" t="s">
        <v>1137</v>
      </c>
      <c r="K233" s="17" t="s">
        <v>298</v>
      </c>
    </row>
    <row r="234" customFormat="false" ht="35.05" hidden="false" customHeight="false" outlineLevel="0" collapsed="false">
      <c r="A234" s="12" t="n">
        <v>233</v>
      </c>
      <c r="B234" s="12" t="s">
        <v>98</v>
      </c>
      <c r="C234" s="12" t="s">
        <v>1138</v>
      </c>
      <c r="D234" s="11" t="s">
        <v>1139</v>
      </c>
      <c r="E234" s="12" t="s">
        <v>313</v>
      </c>
      <c r="F234" s="16" t="n">
        <v>2</v>
      </c>
      <c r="G234" s="12" t="s">
        <v>1140</v>
      </c>
      <c r="H234" s="12" t="s">
        <v>1141</v>
      </c>
      <c r="I234" s="12" t="s">
        <v>1142</v>
      </c>
      <c r="J234" s="12" t="s">
        <v>1143</v>
      </c>
      <c r="K234" s="17" t="s">
        <v>298</v>
      </c>
    </row>
    <row r="235" customFormat="false" ht="35.05" hidden="false" customHeight="false" outlineLevel="0" collapsed="false">
      <c r="A235" s="12" t="n">
        <v>234</v>
      </c>
      <c r="B235" s="12" t="s">
        <v>98</v>
      </c>
      <c r="C235" s="12" t="s">
        <v>1144</v>
      </c>
      <c r="D235" s="11" t="s">
        <v>1145</v>
      </c>
      <c r="E235" s="12" t="s">
        <v>384</v>
      </c>
      <c r="F235" s="16" t="n">
        <v>2</v>
      </c>
      <c r="G235" s="12" t="s">
        <v>1146</v>
      </c>
      <c r="H235" s="12" t="s">
        <v>1147</v>
      </c>
      <c r="I235" s="12" t="s">
        <v>1148</v>
      </c>
      <c r="J235" s="12" t="s">
        <v>1149</v>
      </c>
      <c r="K235" s="17" t="s">
        <v>298</v>
      </c>
    </row>
    <row r="236" customFormat="false" ht="46.25" hidden="false" customHeight="false" outlineLevel="0" collapsed="false">
      <c r="A236" s="12" t="n">
        <v>235</v>
      </c>
      <c r="B236" s="12" t="s">
        <v>98</v>
      </c>
      <c r="C236" s="12" t="s">
        <v>1144</v>
      </c>
      <c r="D236" s="11" t="s">
        <v>1150</v>
      </c>
      <c r="E236" s="12" t="s">
        <v>384</v>
      </c>
      <c r="F236" s="16" t="n">
        <v>2</v>
      </c>
      <c r="G236" s="12" t="s">
        <v>1151</v>
      </c>
      <c r="H236" s="12" t="s">
        <v>1152</v>
      </c>
      <c r="I236" s="12" t="s">
        <v>1153</v>
      </c>
      <c r="J236" s="12" t="s">
        <v>1154</v>
      </c>
      <c r="K236" s="17" t="s">
        <v>298</v>
      </c>
    </row>
    <row r="237" customFormat="false" ht="35.05" hidden="false" customHeight="false" outlineLevel="0" collapsed="false">
      <c r="A237" s="12" t="n">
        <v>236</v>
      </c>
      <c r="B237" s="12" t="s">
        <v>98</v>
      </c>
      <c r="C237" s="12" t="s">
        <v>1144</v>
      </c>
      <c r="D237" s="11" t="s">
        <v>1155</v>
      </c>
      <c r="E237" s="12" t="s">
        <v>384</v>
      </c>
      <c r="F237" s="16" t="n">
        <v>2</v>
      </c>
      <c r="G237" s="12" t="s">
        <v>1156</v>
      </c>
      <c r="H237" s="12" t="s">
        <v>1157</v>
      </c>
      <c r="I237" s="12" t="s">
        <v>1158</v>
      </c>
      <c r="J237" s="12" t="s">
        <v>1159</v>
      </c>
      <c r="K237" s="17" t="s">
        <v>298</v>
      </c>
    </row>
    <row r="238" customFormat="false" ht="46.25" hidden="false" customHeight="false" outlineLevel="0" collapsed="false">
      <c r="A238" s="12" t="n">
        <v>237</v>
      </c>
      <c r="B238" s="12" t="s">
        <v>98</v>
      </c>
      <c r="C238" s="12" t="s">
        <v>1144</v>
      </c>
      <c r="D238" s="11" t="s">
        <v>1160</v>
      </c>
      <c r="E238" s="12" t="s">
        <v>384</v>
      </c>
      <c r="F238" s="16" t="n">
        <v>2</v>
      </c>
      <c r="G238" s="12" t="s">
        <v>1161</v>
      </c>
      <c r="H238" s="12" t="s">
        <v>1162</v>
      </c>
      <c r="I238" s="12" t="s">
        <v>1163</v>
      </c>
      <c r="J238" s="12" t="s">
        <v>1164</v>
      </c>
      <c r="K238" s="17" t="s">
        <v>298</v>
      </c>
    </row>
    <row r="239" customFormat="false" ht="23.85" hidden="false" customHeight="false" outlineLevel="0" collapsed="false">
      <c r="A239" s="12" t="n">
        <v>238</v>
      </c>
      <c r="B239" s="12" t="s">
        <v>98</v>
      </c>
      <c r="C239" s="12" t="s">
        <v>1144</v>
      </c>
      <c r="D239" s="11" t="s">
        <v>1165</v>
      </c>
      <c r="E239" s="12" t="s">
        <v>384</v>
      </c>
      <c r="F239" s="16" t="n">
        <v>2</v>
      </c>
      <c r="G239" s="12" t="s">
        <v>1166</v>
      </c>
      <c r="H239" s="12" t="s">
        <v>1167</v>
      </c>
      <c r="I239" s="12" t="s">
        <v>1168</v>
      </c>
      <c r="J239" s="12" t="s">
        <v>1169</v>
      </c>
      <c r="K239" s="17" t="s">
        <v>298</v>
      </c>
    </row>
    <row r="240" customFormat="false" ht="46.25" hidden="false" customHeight="false" outlineLevel="0" collapsed="false">
      <c r="A240" s="12" t="n">
        <v>239</v>
      </c>
      <c r="B240" s="12" t="s">
        <v>98</v>
      </c>
      <c r="C240" s="12" t="s">
        <v>102</v>
      </c>
      <c r="D240" s="11" t="s">
        <v>404</v>
      </c>
      <c r="E240" s="12" t="s">
        <v>313</v>
      </c>
      <c r="F240" s="16" t="n">
        <v>3</v>
      </c>
      <c r="G240" s="12" t="s">
        <v>1170</v>
      </c>
      <c r="H240" s="12" t="s">
        <v>1171</v>
      </c>
      <c r="I240" s="12" t="s">
        <v>1172</v>
      </c>
      <c r="J240" s="12"/>
      <c r="K240" s="17" t="s">
        <v>298</v>
      </c>
    </row>
    <row r="241" customFormat="false" ht="23.85" hidden="false" customHeight="false" outlineLevel="0" collapsed="false">
      <c r="A241" s="12" t="n">
        <v>240</v>
      </c>
      <c r="B241" s="12" t="s">
        <v>98</v>
      </c>
      <c r="C241" s="12" t="s">
        <v>102</v>
      </c>
      <c r="D241" s="11" t="s">
        <v>882</v>
      </c>
      <c r="E241" s="12" t="s">
        <v>373</v>
      </c>
      <c r="F241" s="16" t="n">
        <v>3</v>
      </c>
      <c r="G241" s="12" t="s">
        <v>1173</v>
      </c>
      <c r="H241" s="12" t="s">
        <v>1174</v>
      </c>
      <c r="I241" s="12"/>
      <c r="J241" s="12"/>
      <c r="K241" s="17" t="s">
        <v>298</v>
      </c>
    </row>
    <row r="242" customFormat="false" ht="23.85" hidden="false" customHeight="false" outlineLevel="0" collapsed="false">
      <c r="A242" s="12" t="n">
        <v>241</v>
      </c>
      <c r="B242" s="12" t="s">
        <v>98</v>
      </c>
      <c r="C242" s="12" t="s">
        <v>1175</v>
      </c>
      <c r="D242" s="11" t="s">
        <v>1176</v>
      </c>
      <c r="E242" s="12" t="s">
        <v>373</v>
      </c>
      <c r="F242" s="16" t="n">
        <v>3</v>
      </c>
      <c r="G242" s="12" t="s">
        <v>1177</v>
      </c>
      <c r="H242" s="12" t="s">
        <v>1178</v>
      </c>
      <c r="I242" s="12" t="s">
        <v>1179</v>
      </c>
      <c r="J242" s="12"/>
      <c r="K242" s="17" t="s">
        <v>298</v>
      </c>
    </row>
    <row r="243" customFormat="false" ht="23.85" hidden="false" customHeight="false" outlineLevel="0" collapsed="false">
      <c r="A243" s="12" t="n">
        <v>242</v>
      </c>
      <c r="B243" s="12" t="s">
        <v>98</v>
      </c>
      <c r="C243" s="12" t="s">
        <v>102</v>
      </c>
      <c r="D243" s="11" t="s">
        <v>409</v>
      </c>
      <c r="E243" s="12" t="s">
        <v>410</v>
      </c>
      <c r="F243" s="16" t="n">
        <v>3</v>
      </c>
      <c r="G243" s="12" t="s">
        <v>1180</v>
      </c>
      <c r="H243" s="12"/>
      <c r="I243" s="12"/>
      <c r="J243" s="12"/>
      <c r="K243" s="17" t="s">
        <v>298</v>
      </c>
    </row>
    <row r="244" customFormat="false" ht="23.85" hidden="false" customHeight="false" outlineLevel="0" collapsed="false">
      <c r="A244" s="12" t="n">
        <v>243</v>
      </c>
      <c r="B244" s="12" t="s">
        <v>98</v>
      </c>
      <c r="C244" s="12" t="s">
        <v>102</v>
      </c>
      <c r="D244" s="11" t="s">
        <v>412</v>
      </c>
      <c r="E244" s="12" t="s">
        <v>410</v>
      </c>
      <c r="F244" s="16" t="n">
        <v>3</v>
      </c>
      <c r="G244" s="12" t="s">
        <v>1181</v>
      </c>
      <c r="H244" s="12"/>
      <c r="I244" s="12"/>
      <c r="J244" s="12"/>
      <c r="K244" s="17" t="s">
        <v>298</v>
      </c>
    </row>
    <row r="245" customFormat="false" ht="35.05" hidden="false" customHeight="false" outlineLevel="0" collapsed="false">
      <c r="A245" s="12" t="n">
        <v>244</v>
      </c>
      <c r="B245" s="12" t="s">
        <v>98</v>
      </c>
      <c r="C245" s="12" t="s">
        <v>102</v>
      </c>
      <c r="D245" s="11" t="s">
        <v>414</v>
      </c>
      <c r="E245" s="12" t="s">
        <v>384</v>
      </c>
      <c r="F245" s="16" t="n">
        <v>3</v>
      </c>
      <c r="G245" s="12" t="s">
        <v>1182</v>
      </c>
      <c r="H245" s="12"/>
      <c r="I245" s="12" t="s">
        <v>1183</v>
      </c>
      <c r="J245" s="12"/>
      <c r="K245" s="17" t="s">
        <v>298</v>
      </c>
    </row>
    <row r="246" customFormat="false" ht="23.85" hidden="false" customHeight="false" outlineLevel="0" collapsed="false">
      <c r="A246" s="12" t="n">
        <v>245</v>
      </c>
      <c r="B246" s="12" t="s">
        <v>98</v>
      </c>
      <c r="C246" s="12" t="s">
        <v>1079</v>
      </c>
      <c r="D246" s="11" t="s">
        <v>1184</v>
      </c>
      <c r="E246" s="12" t="s">
        <v>780</v>
      </c>
      <c r="F246" s="16" t="n">
        <v>3</v>
      </c>
      <c r="G246" s="12" t="s">
        <v>1185</v>
      </c>
      <c r="H246" s="12"/>
      <c r="I246" s="12" t="s">
        <v>1186</v>
      </c>
      <c r="J246" s="12"/>
      <c r="K246" s="17" t="s">
        <v>298</v>
      </c>
    </row>
    <row r="247" customFormat="false" ht="23.85" hidden="false" customHeight="false" outlineLevel="0" collapsed="false">
      <c r="A247" s="12" t="n">
        <v>246</v>
      </c>
      <c r="B247" s="12" t="s">
        <v>98</v>
      </c>
      <c r="C247" s="12" t="s">
        <v>102</v>
      </c>
      <c r="D247" s="11" t="s">
        <v>1187</v>
      </c>
      <c r="E247" s="12" t="s">
        <v>373</v>
      </c>
      <c r="F247" s="16" t="n">
        <v>3</v>
      </c>
      <c r="G247" s="12" t="s">
        <v>1188</v>
      </c>
      <c r="H247" s="12" t="s">
        <v>1189</v>
      </c>
      <c r="I247" s="12" t="s">
        <v>1190</v>
      </c>
      <c r="J247" s="12"/>
      <c r="K247" s="17" t="s">
        <v>298</v>
      </c>
    </row>
    <row r="248" customFormat="false" ht="23.85" hidden="false" customHeight="false" outlineLevel="0" collapsed="false">
      <c r="A248" s="12" t="n">
        <v>247</v>
      </c>
      <c r="B248" s="12" t="s">
        <v>98</v>
      </c>
      <c r="C248" s="12" t="s">
        <v>1023</v>
      </c>
      <c r="D248" s="11" t="s">
        <v>1191</v>
      </c>
      <c r="E248" s="12" t="s">
        <v>355</v>
      </c>
      <c r="F248" s="16" t="n">
        <v>3</v>
      </c>
      <c r="G248" s="12" t="s">
        <v>1192</v>
      </c>
      <c r="H248" s="12" t="s">
        <v>1193</v>
      </c>
      <c r="I248" s="12" t="s">
        <v>1194</v>
      </c>
      <c r="J248" s="12"/>
      <c r="K248" s="17" t="s">
        <v>298</v>
      </c>
    </row>
    <row r="249" customFormat="false" ht="23.85" hidden="false" customHeight="false" outlineLevel="0" collapsed="false">
      <c r="A249" s="12" t="n">
        <v>248</v>
      </c>
      <c r="B249" s="12" t="s">
        <v>98</v>
      </c>
      <c r="C249" s="12" t="s">
        <v>1057</v>
      </c>
      <c r="D249" s="11" t="s">
        <v>1195</v>
      </c>
      <c r="E249" s="12" t="s">
        <v>313</v>
      </c>
      <c r="F249" s="16" t="n">
        <v>3</v>
      </c>
      <c r="G249" s="12" t="s">
        <v>1196</v>
      </c>
      <c r="H249" s="12" t="s">
        <v>1197</v>
      </c>
      <c r="I249" s="12" t="s">
        <v>1198</v>
      </c>
      <c r="J249" s="12" t="s">
        <v>1199</v>
      </c>
      <c r="K249" s="17" t="s">
        <v>298</v>
      </c>
    </row>
    <row r="250" customFormat="false" ht="23.85" hidden="false" customHeight="false" outlineLevel="0" collapsed="false">
      <c r="A250" s="12" t="n">
        <v>249</v>
      </c>
      <c r="B250" s="12" t="s">
        <v>98</v>
      </c>
      <c r="C250" s="12" t="s">
        <v>1063</v>
      </c>
      <c r="D250" s="11" t="s">
        <v>1200</v>
      </c>
      <c r="E250" s="12" t="s">
        <v>301</v>
      </c>
      <c r="F250" s="16" t="n">
        <v>3</v>
      </c>
      <c r="G250" s="12" t="s">
        <v>1201</v>
      </c>
      <c r="H250" s="12" t="s">
        <v>1202</v>
      </c>
      <c r="I250" s="12" t="s">
        <v>1203</v>
      </c>
      <c r="J250" s="12" t="s">
        <v>1204</v>
      </c>
      <c r="K250" s="17" t="s">
        <v>298</v>
      </c>
    </row>
    <row r="251" customFormat="false" ht="35.05" hidden="false" customHeight="false" outlineLevel="0" collapsed="false">
      <c r="A251" s="12" t="n">
        <v>250</v>
      </c>
      <c r="B251" s="12" t="s">
        <v>98</v>
      </c>
      <c r="C251" s="12" t="s">
        <v>1144</v>
      </c>
      <c r="D251" s="11" t="s">
        <v>1205</v>
      </c>
      <c r="E251" s="12" t="s">
        <v>384</v>
      </c>
      <c r="F251" s="16" t="n">
        <v>3</v>
      </c>
      <c r="G251" s="12" t="s">
        <v>1206</v>
      </c>
      <c r="H251" s="12" t="s">
        <v>1207</v>
      </c>
      <c r="I251" s="12" t="s">
        <v>1208</v>
      </c>
      <c r="J251" s="12"/>
      <c r="K251" s="17" t="s">
        <v>298</v>
      </c>
    </row>
    <row r="252" customFormat="false" ht="23.85" hidden="false" customHeight="false" outlineLevel="0" collapsed="false">
      <c r="A252" s="12" t="n">
        <v>251</v>
      </c>
      <c r="B252" s="12" t="s">
        <v>106</v>
      </c>
      <c r="C252" s="12" t="s">
        <v>1209</v>
      </c>
      <c r="D252" s="11" t="s">
        <v>1210</v>
      </c>
      <c r="E252" s="12" t="s">
        <v>327</v>
      </c>
      <c r="F252" s="16" t="n">
        <v>1</v>
      </c>
      <c r="G252" s="12" t="s">
        <v>1211</v>
      </c>
      <c r="H252" s="12" t="s">
        <v>1212</v>
      </c>
      <c r="I252" s="12" t="s">
        <v>1213</v>
      </c>
      <c r="J252" s="12" t="s">
        <v>1214</v>
      </c>
      <c r="K252" s="17" t="s">
        <v>298</v>
      </c>
    </row>
    <row r="253" customFormat="false" ht="46.25" hidden="false" customHeight="false" outlineLevel="0" collapsed="false">
      <c r="A253" s="12" t="n">
        <v>252</v>
      </c>
      <c r="B253" s="12" t="s">
        <v>106</v>
      </c>
      <c r="C253" s="12" t="s">
        <v>1215</v>
      </c>
      <c r="D253" s="11" t="s">
        <v>1018</v>
      </c>
      <c r="E253" s="12" t="s">
        <v>313</v>
      </c>
      <c r="F253" s="16" t="n">
        <v>1</v>
      </c>
      <c r="G253" s="12" t="s">
        <v>1216</v>
      </c>
      <c r="H253" s="12" t="s">
        <v>1217</v>
      </c>
      <c r="I253" s="12" t="s">
        <v>1218</v>
      </c>
      <c r="J253" s="12" t="s">
        <v>1219</v>
      </c>
      <c r="K253" s="17" t="s">
        <v>298</v>
      </c>
    </row>
    <row r="254" customFormat="false" ht="35.05" hidden="false" customHeight="false" outlineLevel="0" collapsed="false">
      <c r="A254" s="12" t="n">
        <v>253</v>
      </c>
      <c r="B254" s="12" t="s">
        <v>106</v>
      </c>
      <c r="C254" s="12" t="s">
        <v>1220</v>
      </c>
      <c r="D254" s="11" t="s">
        <v>1221</v>
      </c>
      <c r="E254" s="12" t="s">
        <v>320</v>
      </c>
      <c r="F254" s="16" t="n">
        <v>1</v>
      </c>
      <c r="G254" s="12" t="s">
        <v>1222</v>
      </c>
      <c r="H254" s="12" t="s">
        <v>1223</v>
      </c>
      <c r="I254" s="12" t="s">
        <v>1224</v>
      </c>
      <c r="J254" s="12" t="s">
        <v>1225</v>
      </c>
      <c r="K254" s="17" t="s">
        <v>298</v>
      </c>
    </row>
    <row r="255" customFormat="false" ht="35.05" hidden="false" customHeight="false" outlineLevel="0" collapsed="false">
      <c r="A255" s="12" t="n">
        <v>254</v>
      </c>
      <c r="B255" s="12" t="s">
        <v>106</v>
      </c>
      <c r="C255" s="12" t="s">
        <v>1220</v>
      </c>
      <c r="D255" s="11" t="s">
        <v>1226</v>
      </c>
      <c r="E255" s="12" t="s">
        <v>320</v>
      </c>
      <c r="F255" s="16" t="n">
        <v>1</v>
      </c>
      <c r="G255" s="12" t="s">
        <v>1227</v>
      </c>
      <c r="H255" s="12" t="s">
        <v>1228</v>
      </c>
      <c r="I255" s="12" t="s">
        <v>1229</v>
      </c>
      <c r="J255" s="12" t="s">
        <v>1230</v>
      </c>
      <c r="K255" s="17" t="s">
        <v>298</v>
      </c>
    </row>
    <row r="256" customFormat="false" ht="46.25" hidden="false" customHeight="false" outlineLevel="0" collapsed="false">
      <c r="A256" s="12" t="n">
        <v>255</v>
      </c>
      <c r="B256" s="12" t="s">
        <v>106</v>
      </c>
      <c r="C256" s="12" t="s">
        <v>1231</v>
      </c>
      <c r="D256" s="11" t="s">
        <v>1232</v>
      </c>
      <c r="E256" s="12" t="s">
        <v>293</v>
      </c>
      <c r="F256" s="16" t="n">
        <v>1</v>
      </c>
      <c r="G256" s="12" t="s">
        <v>1233</v>
      </c>
      <c r="H256" s="12" t="s">
        <v>1234</v>
      </c>
      <c r="I256" s="12" t="s">
        <v>1235</v>
      </c>
      <c r="J256" s="12" t="s">
        <v>1236</v>
      </c>
      <c r="K256" s="17" t="s">
        <v>298</v>
      </c>
    </row>
    <row r="257" customFormat="false" ht="46.25" hidden="false" customHeight="false" outlineLevel="0" collapsed="false">
      <c r="A257" s="12" t="n">
        <v>256</v>
      </c>
      <c r="B257" s="12" t="s">
        <v>106</v>
      </c>
      <c r="C257" s="12" t="s">
        <v>1231</v>
      </c>
      <c r="D257" s="11" t="s">
        <v>1237</v>
      </c>
      <c r="E257" s="12" t="s">
        <v>293</v>
      </c>
      <c r="F257" s="16" t="n">
        <v>1</v>
      </c>
      <c r="G257" s="12" t="s">
        <v>1238</v>
      </c>
      <c r="H257" s="12" t="s">
        <v>1239</v>
      </c>
      <c r="I257" s="12" t="s">
        <v>1240</v>
      </c>
      <c r="J257" s="12" t="s">
        <v>1241</v>
      </c>
      <c r="K257" s="17" t="s">
        <v>298</v>
      </c>
    </row>
    <row r="258" customFormat="false" ht="46.25" hidden="false" customHeight="false" outlineLevel="0" collapsed="false">
      <c r="A258" s="12" t="n">
        <v>257</v>
      </c>
      <c r="B258" s="12" t="s">
        <v>106</v>
      </c>
      <c r="C258" s="12" t="s">
        <v>1242</v>
      </c>
      <c r="D258" s="11" t="s">
        <v>1243</v>
      </c>
      <c r="E258" s="12" t="s">
        <v>293</v>
      </c>
      <c r="F258" s="16" t="n">
        <v>1</v>
      </c>
      <c r="G258" s="12" t="s">
        <v>1244</v>
      </c>
      <c r="H258" s="12" t="s">
        <v>1245</v>
      </c>
      <c r="I258" s="12" t="s">
        <v>1246</v>
      </c>
      <c r="J258" s="12" t="s">
        <v>1247</v>
      </c>
      <c r="K258" s="17" t="s">
        <v>298</v>
      </c>
    </row>
    <row r="259" customFormat="false" ht="35.05" hidden="false" customHeight="false" outlineLevel="0" collapsed="false">
      <c r="A259" s="12" t="n">
        <v>258</v>
      </c>
      <c r="B259" s="12" t="s">
        <v>106</v>
      </c>
      <c r="C259" s="12" t="s">
        <v>1248</v>
      </c>
      <c r="D259" s="11" t="s">
        <v>1041</v>
      </c>
      <c r="E259" s="12" t="s">
        <v>355</v>
      </c>
      <c r="F259" s="16" t="n">
        <v>1</v>
      </c>
      <c r="G259" s="12" t="s">
        <v>1249</v>
      </c>
      <c r="H259" s="12" t="s">
        <v>1250</v>
      </c>
      <c r="I259" s="12" t="s">
        <v>1251</v>
      </c>
      <c r="J259" s="12" t="s">
        <v>1252</v>
      </c>
      <c r="K259" s="17" t="s">
        <v>298</v>
      </c>
    </row>
    <row r="260" customFormat="false" ht="35.05" hidden="false" customHeight="false" outlineLevel="0" collapsed="false">
      <c r="A260" s="12" t="n">
        <v>259</v>
      </c>
      <c r="B260" s="12" t="s">
        <v>106</v>
      </c>
      <c r="C260" s="12" t="s">
        <v>1248</v>
      </c>
      <c r="D260" s="11" t="s">
        <v>1046</v>
      </c>
      <c r="E260" s="12" t="s">
        <v>293</v>
      </c>
      <c r="F260" s="16" t="n">
        <v>1</v>
      </c>
      <c r="G260" s="12" t="s">
        <v>1253</v>
      </c>
      <c r="H260" s="12" t="s">
        <v>1254</v>
      </c>
      <c r="I260" s="12" t="s">
        <v>1255</v>
      </c>
      <c r="J260" s="12" t="s">
        <v>1256</v>
      </c>
      <c r="K260" s="17" t="s">
        <v>298</v>
      </c>
    </row>
    <row r="261" customFormat="false" ht="23.85" hidden="false" customHeight="false" outlineLevel="0" collapsed="false">
      <c r="A261" s="12" t="n">
        <v>260</v>
      </c>
      <c r="B261" s="12" t="s">
        <v>106</v>
      </c>
      <c r="C261" s="12" t="s">
        <v>1257</v>
      </c>
      <c r="D261" s="11" t="s">
        <v>1064</v>
      </c>
      <c r="E261" s="12" t="s">
        <v>301</v>
      </c>
      <c r="F261" s="16" t="n">
        <v>1</v>
      </c>
      <c r="G261" s="12" t="s">
        <v>1258</v>
      </c>
      <c r="H261" s="12" t="s">
        <v>1259</v>
      </c>
      <c r="I261" s="12" t="s">
        <v>1260</v>
      </c>
      <c r="J261" s="12" t="s">
        <v>1261</v>
      </c>
      <c r="K261" s="17" t="s">
        <v>298</v>
      </c>
    </row>
    <row r="262" customFormat="false" ht="23.85" hidden="false" customHeight="false" outlineLevel="0" collapsed="false">
      <c r="A262" s="12" t="n">
        <v>261</v>
      </c>
      <c r="B262" s="12" t="s">
        <v>106</v>
      </c>
      <c r="C262" s="12" t="s">
        <v>1257</v>
      </c>
      <c r="D262" s="11" t="s">
        <v>1069</v>
      </c>
      <c r="E262" s="12" t="s">
        <v>362</v>
      </c>
      <c r="F262" s="16" t="n">
        <v>1</v>
      </c>
      <c r="G262" s="12" t="s">
        <v>1262</v>
      </c>
      <c r="H262" s="12" t="s">
        <v>1263</v>
      </c>
      <c r="I262" s="12" t="s">
        <v>1264</v>
      </c>
      <c r="J262" s="12" t="s">
        <v>1265</v>
      </c>
      <c r="K262" s="17" t="s">
        <v>298</v>
      </c>
    </row>
    <row r="263" customFormat="false" ht="23.85" hidden="false" customHeight="false" outlineLevel="0" collapsed="false">
      <c r="A263" s="12" t="n">
        <v>262</v>
      </c>
      <c r="B263" s="12" t="s">
        <v>106</v>
      </c>
      <c r="C263" s="12" t="s">
        <v>1257</v>
      </c>
      <c r="D263" s="11" t="s">
        <v>1074</v>
      </c>
      <c r="E263" s="12" t="s">
        <v>362</v>
      </c>
      <c r="F263" s="16" t="n">
        <v>1</v>
      </c>
      <c r="G263" s="12" t="s">
        <v>1266</v>
      </c>
      <c r="H263" s="12" t="s">
        <v>1267</v>
      </c>
      <c r="I263" s="12" t="s">
        <v>1268</v>
      </c>
      <c r="J263" s="12" t="s">
        <v>1269</v>
      </c>
      <c r="K263" s="17" t="s">
        <v>298</v>
      </c>
    </row>
    <row r="264" customFormat="false" ht="35.05" hidden="false" customHeight="false" outlineLevel="0" collapsed="false">
      <c r="A264" s="12" t="n">
        <v>263</v>
      </c>
      <c r="B264" s="12" t="s">
        <v>106</v>
      </c>
      <c r="C264" s="12" t="s">
        <v>1270</v>
      </c>
      <c r="D264" s="11" t="s">
        <v>1271</v>
      </c>
      <c r="E264" s="12" t="s">
        <v>780</v>
      </c>
      <c r="F264" s="16" t="n">
        <v>2</v>
      </c>
      <c r="G264" s="12" t="s">
        <v>1272</v>
      </c>
      <c r="H264" s="12"/>
      <c r="I264" s="12" t="s">
        <v>1273</v>
      </c>
      <c r="J264" s="12"/>
      <c r="K264" s="17" t="s">
        <v>298</v>
      </c>
    </row>
    <row r="265" customFormat="false" ht="23.85" hidden="false" customHeight="false" outlineLevel="0" collapsed="false">
      <c r="A265" s="12" t="n">
        <v>264</v>
      </c>
      <c r="B265" s="12" t="s">
        <v>106</v>
      </c>
      <c r="C265" s="12" t="s">
        <v>1215</v>
      </c>
      <c r="D265" s="11" t="s">
        <v>1274</v>
      </c>
      <c r="E265" s="12" t="s">
        <v>313</v>
      </c>
      <c r="F265" s="16" t="n">
        <v>2</v>
      </c>
      <c r="G265" s="12" t="s">
        <v>1275</v>
      </c>
      <c r="H265" s="12" t="s">
        <v>1276</v>
      </c>
      <c r="I265" s="12" t="s">
        <v>1277</v>
      </c>
      <c r="J265" s="12"/>
      <c r="K265" s="17" t="s">
        <v>298</v>
      </c>
    </row>
    <row r="266" customFormat="false" ht="35.05" hidden="false" customHeight="false" outlineLevel="0" collapsed="false">
      <c r="A266" s="12" t="n">
        <v>265</v>
      </c>
      <c r="B266" s="12" t="s">
        <v>106</v>
      </c>
      <c r="C266" s="12" t="s">
        <v>1215</v>
      </c>
      <c r="D266" s="11" t="s">
        <v>1088</v>
      </c>
      <c r="E266" s="12" t="s">
        <v>313</v>
      </c>
      <c r="F266" s="16" t="n">
        <v>2</v>
      </c>
      <c r="G266" s="12" t="s">
        <v>1278</v>
      </c>
      <c r="H266" s="12" t="s">
        <v>1279</v>
      </c>
      <c r="I266" s="12" t="s">
        <v>1280</v>
      </c>
      <c r="J266" s="12" t="s">
        <v>1281</v>
      </c>
      <c r="K266" s="17" t="s">
        <v>298</v>
      </c>
    </row>
    <row r="267" customFormat="false" ht="23.85" hidden="false" customHeight="false" outlineLevel="0" collapsed="false">
      <c r="A267" s="12" t="n">
        <v>266</v>
      </c>
      <c r="B267" s="12" t="s">
        <v>106</v>
      </c>
      <c r="C267" s="12" t="s">
        <v>1282</v>
      </c>
      <c r="D267" s="11" t="s">
        <v>1094</v>
      </c>
      <c r="E267" s="12" t="s">
        <v>355</v>
      </c>
      <c r="F267" s="16" t="n">
        <v>2</v>
      </c>
      <c r="G267" s="12" t="s">
        <v>1283</v>
      </c>
      <c r="H267" s="12" t="s">
        <v>1284</v>
      </c>
      <c r="I267" s="12" t="s">
        <v>1285</v>
      </c>
      <c r="J267" s="12"/>
      <c r="K267" s="17" t="s">
        <v>298</v>
      </c>
    </row>
    <row r="268" customFormat="false" ht="23.85" hidden="false" customHeight="false" outlineLevel="0" collapsed="false">
      <c r="A268" s="12" t="n">
        <v>267</v>
      </c>
      <c r="B268" s="12" t="s">
        <v>106</v>
      </c>
      <c r="C268" s="12" t="s">
        <v>1282</v>
      </c>
      <c r="D268" s="11" t="s">
        <v>1099</v>
      </c>
      <c r="E268" s="12" t="s">
        <v>355</v>
      </c>
      <c r="F268" s="16" t="n">
        <v>2</v>
      </c>
      <c r="G268" s="12" t="s">
        <v>1286</v>
      </c>
      <c r="H268" s="12" t="s">
        <v>1287</v>
      </c>
      <c r="I268" s="12" t="s">
        <v>1288</v>
      </c>
      <c r="J268" s="12"/>
      <c r="K268" s="17" t="s">
        <v>298</v>
      </c>
    </row>
    <row r="269" customFormat="false" ht="23.85" hidden="false" customHeight="false" outlineLevel="0" collapsed="false">
      <c r="A269" s="12" t="n">
        <v>268</v>
      </c>
      <c r="B269" s="12" t="s">
        <v>106</v>
      </c>
      <c r="C269" s="12" t="s">
        <v>1282</v>
      </c>
      <c r="D269" s="11" t="s">
        <v>1103</v>
      </c>
      <c r="E269" s="12" t="s">
        <v>355</v>
      </c>
      <c r="F269" s="16" t="n">
        <v>2</v>
      </c>
      <c r="G269" s="12" t="s">
        <v>1289</v>
      </c>
      <c r="H269" s="12" t="s">
        <v>1290</v>
      </c>
      <c r="I269" s="12" t="s">
        <v>1291</v>
      </c>
      <c r="J269" s="12"/>
      <c r="K269" s="17" t="s">
        <v>298</v>
      </c>
    </row>
    <row r="270" customFormat="false" ht="23.85" hidden="false" customHeight="false" outlineLevel="0" collapsed="false">
      <c r="A270" s="12" t="n">
        <v>269</v>
      </c>
      <c r="B270" s="12" t="s">
        <v>106</v>
      </c>
      <c r="C270" s="12" t="s">
        <v>1231</v>
      </c>
      <c r="D270" s="11" t="s">
        <v>1292</v>
      </c>
      <c r="E270" s="12" t="s">
        <v>293</v>
      </c>
      <c r="F270" s="16" t="n">
        <v>2</v>
      </c>
      <c r="G270" s="12" t="s">
        <v>1293</v>
      </c>
      <c r="H270" s="12" t="s">
        <v>1294</v>
      </c>
      <c r="I270" s="12" t="s">
        <v>1295</v>
      </c>
      <c r="J270" s="12" t="s">
        <v>1296</v>
      </c>
      <c r="K270" s="17" t="s">
        <v>298</v>
      </c>
    </row>
    <row r="271" customFormat="false" ht="35.05" hidden="false" customHeight="false" outlineLevel="0" collapsed="false">
      <c r="A271" s="12" t="n">
        <v>270</v>
      </c>
      <c r="B271" s="12" t="s">
        <v>106</v>
      </c>
      <c r="C271" s="12" t="s">
        <v>1231</v>
      </c>
      <c r="D271" s="11" t="s">
        <v>1297</v>
      </c>
      <c r="E271" s="12" t="s">
        <v>355</v>
      </c>
      <c r="F271" s="16" t="n">
        <v>2</v>
      </c>
      <c r="G271" s="12" t="s">
        <v>1298</v>
      </c>
      <c r="H271" s="12" t="s">
        <v>1299</v>
      </c>
      <c r="I271" s="12" t="s">
        <v>1300</v>
      </c>
      <c r="J271" s="12"/>
      <c r="K271" s="17" t="s">
        <v>298</v>
      </c>
    </row>
    <row r="272" customFormat="false" ht="35.05" hidden="false" customHeight="false" outlineLevel="0" collapsed="false">
      <c r="A272" s="12" t="n">
        <v>271</v>
      </c>
      <c r="B272" s="12" t="s">
        <v>106</v>
      </c>
      <c r="C272" s="12" t="s">
        <v>1231</v>
      </c>
      <c r="D272" s="11" t="s">
        <v>1301</v>
      </c>
      <c r="E272" s="12" t="s">
        <v>320</v>
      </c>
      <c r="F272" s="16" t="n">
        <v>2</v>
      </c>
      <c r="G272" s="12" t="s">
        <v>1302</v>
      </c>
      <c r="H272" s="12" t="s">
        <v>1303</v>
      </c>
      <c r="I272" s="12" t="s">
        <v>1304</v>
      </c>
      <c r="J272" s="12" t="s">
        <v>1305</v>
      </c>
      <c r="K272" s="17" t="s">
        <v>298</v>
      </c>
    </row>
    <row r="273" customFormat="false" ht="46.25" hidden="false" customHeight="false" outlineLevel="0" collapsed="false">
      <c r="A273" s="12" t="n">
        <v>272</v>
      </c>
      <c r="B273" s="12" t="s">
        <v>106</v>
      </c>
      <c r="C273" s="12" t="s">
        <v>1242</v>
      </c>
      <c r="D273" s="11" t="s">
        <v>1306</v>
      </c>
      <c r="E273" s="12" t="s">
        <v>293</v>
      </c>
      <c r="F273" s="16" t="n">
        <v>2</v>
      </c>
      <c r="G273" s="12" t="s">
        <v>1307</v>
      </c>
      <c r="H273" s="12" t="s">
        <v>1308</v>
      </c>
      <c r="I273" s="12" t="s">
        <v>1309</v>
      </c>
      <c r="J273" s="12" t="s">
        <v>1310</v>
      </c>
      <c r="K273" s="17" t="s">
        <v>298</v>
      </c>
    </row>
    <row r="274" customFormat="false" ht="23.85" hidden="false" customHeight="false" outlineLevel="0" collapsed="false">
      <c r="A274" s="12" t="n">
        <v>273</v>
      </c>
      <c r="B274" s="12" t="s">
        <v>106</v>
      </c>
      <c r="C274" s="12" t="s">
        <v>1311</v>
      </c>
      <c r="D274" s="11" t="s">
        <v>1058</v>
      </c>
      <c r="E274" s="12" t="s">
        <v>362</v>
      </c>
      <c r="F274" s="16" t="n">
        <v>2</v>
      </c>
      <c r="G274" s="12" t="s">
        <v>1312</v>
      </c>
      <c r="H274" s="12" t="s">
        <v>1313</v>
      </c>
      <c r="I274" s="12" t="s">
        <v>1314</v>
      </c>
      <c r="J274" s="12" t="s">
        <v>1315</v>
      </c>
      <c r="K274" s="17" t="s">
        <v>298</v>
      </c>
    </row>
    <row r="275" customFormat="false" ht="23.85" hidden="false" customHeight="false" outlineLevel="0" collapsed="false">
      <c r="A275" s="12" t="n">
        <v>274</v>
      </c>
      <c r="B275" s="12" t="s">
        <v>106</v>
      </c>
      <c r="C275" s="12" t="s">
        <v>1257</v>
      </c>
      <c r="D275" s="11" t="s">
        <v>1123</v>
      </c>
      <c r="E275" s="12" t="s">
        <v>301</v>
      </c>
      <c r="F275" s="16" t="n">
        <v>2</v>
      </c>
      <c r="G275" s="12" t="s">
        <v>1316</v>
      </c>
      <c r="H275" s="12" t="s">
        <v>1317</v>
      </c>
      <c r="I275" s="12" t="s">
        <v>1318</v>
      </c>
      <c r="J275" s="12" t="s">
        <v>1319</v>
      </c>
      <c r="K275" s="17" t="s">
        <v>298</v>
      </c>
    </row>
    <row r="276" customFormat="false" ht="23.85" hidden="false" customHeight="false" outlineLevel="0" collapsed="false">
      <c r="A276" s="12" t="n">
        <v>275</v>
      </c>
      <c r="B276" s="12" t="s">
        <v>106</v>
      </c>
      <c r="C276" s="12" t="s">
        <v>1257</v>
      </c>
      <c r="D276" s="11" t="s">
        <v>1128</v>
      </c>
      <c r="E276" s="12" t="s">
        <v>301</v>
      </c>
      <c r="F276" s="16" t="n">
        <v>2</v>
      </c>
      <c r="G276" s="12" t="s">
        <v>1320</v>
      </c>
      <c r="H276" s="12" t="s">
        <v>1321</v>
      </c>
      <c r="I276" s="12" t="s">
        <v>1322</v>
      </c>
      <c r="J276" s="12"/>
      <c r="K276" s="17" t="s">
        <v>298</v>
      </c>
    </row>
    <row r="277" customFormat="false" ht="23.85" hidden="false" customHeight="false" outlineLevel="0" collapsed="false">
      <c r="A277" s="12" t="n">
        <v>276</v>
      </c>
      <c r="B277" s="12" t="s">
        <v>106</v>
      </c>
      <c r="C277" s="12" t="s">
        <v>1257</v>
      </c>
      <c r="D277" s="11" t="s">
        <v>1133</v>
      </c>
      <c r="E277" s="12" t="s">
        <v>301</v>
      </c>
      <c r="F277" s="16" t="n">
        <v>2</v>
      </c>
      <c r="G277" s="12" t="s">
        <v>1323</v>
      </c>
      <c r="H277" s="12" t="s">
        <v>1324</v>
      </c>
      <c r="I277" s="12" t="s">
        <v>1325</v>
      </c>
      <c r="J277" s="12"/>
      <c r="K277" s="17" t="s">
        <v>298</v>
      </c>
    </row>
    <row r="278" customFormat="false" ht="57.45" hidden="false" customHeight="false" outlineLevel="0" collapsed="false">
      <c r="A278" s="12" t="n">
        <v>277</v>
      </c>
      <c r="B278" s="12" t="s">
        <v>106</v>
      </c>
      <c r="C278" s="12" t="s">
        <v>1326</v>
      </c>
      <c r="D278" s="11" t="s">
        <v>1139</v>
      </c>
      <c r="E278" s="12" t="s">
        <v>313</v>
      </c>
      <c r="F278" s="16" t="n">
        <v>2</v>
      </c>
      <c r="G278" s="12" t="s">
        <v>1327</v>
      </c>
      <c r="H278" s="12" t="s">
        <v>1328</v>
      </c>
      <c r="I278" s="12" t="s">
        <v>1329</v>
      </c>
      <c r="J278" s="12" t="s">
        <v>1330</v>
      </c>
      <c r="K278" s="17" t="s">
        <v>298</v>
      </c>
    </row>
    <row r="279" customFormat="false" ht="35.05" hidden="false" customHeight="false" outlineLevel="0" collapsed="false">
      <c r="A279" s="12" t="n">
        <v>278</v>
      </c>
      <c r="B279" s="12" t="s">
        <v>106</v>
      </c>
      <c r="C279" s="12" t="s">
        <v>1331</v>
      </c>
      <c r="D279" s="11" t="s">
        <v>1145</v>
      </c>
      <c r="E279" s="12" t="s">
        <v>384</v>
      </c>
      <c r="F279" s="16" t="n">
        <v>2</v>
      </c>
      <c r="G279" s="12" t="s">
        <v>1332</v>
      </c>
      <c r="H279" s="12" t="s">
        <v>1333</v>
      </c>
      <c r="I279" s="12" t="s">
        <v>1148</v>
      </c>
      <c r="J279" s="12"/>
      <c r="K279" s="17" t="s">
        <v>298</v>
      </c>
    </row>
    <row r="280" customFormat="false" ht="46.25" hidden="false" customHeight="false" outlineLevel="0" collapsed="false">
      <c r="A280" s="12" t="n">
        <v>279</v>
      </c>
      <c r="B280" s="12" t="s">
        <v>106</v>
      </c>
      <c r="C280" s="12" t="s">
        <v>1331</v>
      </c>
      <c r="D280" s="11" t="s">
        <v>1334</v>
      </c>
      <c r="E280" s="12" t="s">
        <v>384</v>
      </c>
      <c r="F280" s="16" t="n">
        <v>2</v>
      </c>
      <c r="G280" s="12" t="s">
        <v>1335</v>
      </c>
      <c r="H280" s="12" t="s">
        <v>1336</v>
      </c>
      <c r="I280" s="12" t="s">
        <v>1337</v>
      </c>
      <c r="J280" s="12" t="s">
        <v>1338</v>
      </c>
      <c r="K280" s="17" t="s">
        <v>298</v>
      </c>
    </row>
    <row r="281" customFormat="false" ht="35.05" hidden="false" customHeight="false" outlineLevel="0" collapsed="false">
      <c r="A281" s="12" t="n">
        <v>280</v>
      </c>
      <c r="B281" s="12" t="s">
        <v>106</v>
      </c>
      <c r="C281" s="12" t="s">
        <v>1331</v>
      </c>
      <c r="D281" s="11" t="s">
        <v>1339</v>
      </c>
      <c r="E281" s="12" t="s">
        <v>384</v>
      </c>
      <c r="F281" s="16" t="n">
        <v>2</v>
      </c>
      <c r="G281" s="12" t="s">
        <v>1340</v>
      </c>
      <c r="H281" s="12" t="s">
        <v>1341</v>
      </c>
      <c r="I281" s="12" t="s">
        <v>1342</v>
      </c>
      <c r="J281" s="12" t="s">
        <v>1343</v>
      </c>
      <c r="K281" s="17" t="s">
        <v>298</v>
      </c>
    </row>
    <row r="282" customFormat="false" ht="35.05" hidden="false" customHeight="false" outlineLevel="0" collapsed="false">
      <c r="A282" s="12" t="n">
        <v>281</v>
      </c>
      <c r="B282" s="12" t="s">
        <v>106</v>
      </c>
      <c r="C282" s="12" t="s">
        <v>1331</v>
      </c>
      <c r="D282" s="11" t="s">
        <v>1160</v>
      </c>
      <c r="E282" s="12" t="s">
        <v>384</v>
      </c>
      <c r="F282" s="16" t="n">
        <v>2</v>
      </c>
      <c r="G282" s="12" t="s">
        <v>1344</v>
      </c>
      <c r="H282" s="12" t="s">
        <v>1345</v>
      </c>
      <c r="I282" s="12" t="s">
        <v>1346</v>
      </c>
      <c r="J282" s="12"/>
      <c r="K282" s="17" t="s">
        <v>298</v>
      </c>
    </row>
    <row r="283" customFormat="false" ht="23.85" hidden="false" customHeight="false" outlineLevel="0" collapsed="false">
      <c r="A283" s="12" t="n">
        <v>282</v>
      </c>
      <c r="B283" s="12" t="s">
        <v>106</v>
      </c>
      <c r="C283" s="12" t="s">
        <v>1331</v>
      </c>
      <c r="D283" s="11" t="s">
        <v>1165</v>
      </c>
      <c r="E283" s="12" t="s">
        <v>384</v>
      </c>
      <c r="F283" s="16" t="n">
        <v>2</v>
      </c>
      <c r="G283" s="12" t="s">
        <v>1347</v>
      </c>
      <c r="H283" s="12" t="s">
        <v>1167</v>
      </c>
      <c r="I283" s="12" t="s">
        <v>1348</v>
      </c>
      <c r="J283" s="12" t="s">
        <v>1349</v>
      </c>
      <c r="K283" s="17" t="s">
        <v>298</v>
      </c>
    </row>
    <row r="284" customFormat="false" ht="35.05" hidden="false" customHeight="false" outlineLevel="0" collapsed="false">
      <c r="A284" s="12" t="n">
        <v>283</v>
      </c>
      <c r="B284" s="12" t="s">
        <v>106</v>
      </c>
      <c r="C284" s="12" t="s">
        <v>108</v>
      </c>
      <c r="D284" s="11" t="s">
        <v>404</v>
      </c>
      <c r="E284" s="12" t="s">
        <v>313</v>
      </c>
      <c r="F284" s="16" t="n">
        <v>3</v>
      </c>
      <c r="G284" s="12" t="s">
        <v>1350</v>
      </c>
      <c r="H284" s="12" t="s">
        <v>1351</v>
      </c>
      <c r="I284" s="12" t="s">
        <v>1352</v>
      </c>
      <c r="J284" s="12"/>
      <c r="K284" s="17" t="s">
        <v>298</v>
      </c>
    </row>
    <row r="285" customFormat="false" ht="15" hidden="false" customHeight="false" outlineLevel="0" collapsed="false">
      <c r="A285" s="12" t="n">
        <v>284</v>
      </c>
      <c r="B285" s="12" t="s">
        <v>106</v>
      </c>
      <c r="C285" s="12" t="s">
        <v>108</v>
      </c>
      <c r="D285" s="11" t="s">
        <v>882</v>
      </c>
      <c r="E285" s="12" t="s">
        <v>373</v>
      </c>
      <c r="F285" s="16" t="n">
        <v>3</v>
      </c>
      <c r="G285" s="12" t="s">
        <v>1353</v>
      </c>
      <c r="H285" s="12" t="s">
        <v>1354</v>
      </c>
      <c r="I285" s="12"/>
      <c r="J285" s="12"/>
      <c r="K285" s="17" t="s">
        <v>298</v>
      </c>
    </row>
    <row r="286" customFormat="false" ht="23.85" hidden="false" customHeight="false" outlineLevel="0" collapsed="false">
      <c r="A286" s="12" t="n">
        <v>285</v>
      </c>
      <c r="B286" s="12" t="s">
        <v>106</v>
      </c>
      <c r="C286" s="12" t="s">
        <v>1355</v>
      </c>
      <c r="D286" s="11" t="s">
        <v>1176</v>
      </c>
      <c r="E286" s="12" t="s">
        <v>373</v>
      </c>
      <c r="F286" s="16" t="n">
        <v>3</v>
      </c>
      <c r="G286" s="12" t="s">
        <v>1356</v>
      </c>
      <c r="H286" s="12" t="s">
        <v>1178</v>
      </c>
      <c r="I286" s="12" t="s">
        <v>1357</v>
      </c>
      <c r="J286" s="12"/>
      <c r="K286" s="17" t="s">
        <v>298</v>
      </c>
    </row>
    <row r="287" customFormat="false" ht="23.85" hidden="false" customHeight="false" outlineLevel="0" collapsed="false">
      <c r="A287" s="12" t="n">
        <v>286</v>
      </c>
      <c r="B287" s="12" t="s">
        <v>106</v>
      </c>
      <c r="C287" s="12" t="s">
        <v>108</v>
      </c>
      <c r="D287" s="11" t="s">
        <v>409</v>
      </c>
      <c r="E287" s="12" t="s">
        <v>410</v>
      </c>
      <c r="F287" s="16" t="n">
        <v>3</v>
      </c>
      <c r="G287" s="12" t="s">
        <v>1358</v>
      </c>
      <c r="H287" s="12"/>
      <c r="I287" s="12"/>
      <c r="J287" s="12"/>
      <c r="K287" s="17" t="s">
        <v>298</v>
      </c>
    </row>
    <row r="288" customFormat="false" ht="23.85" hidden="false" customHeight="false" outlineLevel="0" collapsed="false">
      <c r="A288" s="12" t="n">
        <v>287</v>
      </c>
      <c r="B288" s="12" t="s">
        <v>106</v>
      </c>
      <c r="C288" s="12" t="s">
        <v>108</v>
      </c>
      <c r="D288" s="11" t="s">
        <v>412</v>
      </c>
      <c r="E288" s="12" t="s">
        <v>410</v>
      </c>
      <c r="F288" s="16" t="n">
        <v>3</v>
      </c>
      <c r="G288" s="12" t="s">
        <v>1359</v>
      </c>
      <c r="H288" s="12"/>
      <c r="I288" s="12"/>
      <c r="J288" s="12"/>
      <c r="K288" s="17" t="s">
        <v>298</v>
      </c>
    </row>
    <row r="289" customFormat="false" ht="35.05" hidden="false" customHeight="false" outlineLevel="0" collapsed="false">
      <c r="A289" s="12" t="n">
        <v>288</v>
      </c>
      <c r="B289" s="12" t="s">
        <v>106</v>
      </c>
      <c r="C289" s="12" t="s">
        <v>108</v>
      </c>
      <c r="D289" s="11" t="s">
        <v>414</v>
      </c>
      <c r="E289" s="12" t="s">
        <v>384</v>
      </c>
      <c r="F289" s="16" t="n">
        <v>3</v>
      </c>
      <c r="G289" s="12" t="s">
        <v>1360</v>
      </c>
      <c r="H289" s="12"/>
      <c r="I289" s="12" t="s">
        <v>1361</v>
      </c>
      <c r="J289" s="12"/>
      <c r="K289" s="17" t="s">
        <v>298</v>
      </c>
    </row>
    <row r="290" customFormat="false" ht="23.85" hidden="false" customHeight="false" outlineLevel="0" collapsed="false">
      <c r="A290" s="12" t="n">
        <v>289</v>
      </c>
      <c r="B290" s="12" t="s">
        <v>106</v>
      </c>
      <c r="C290" s="12" t="s">
        <v>1270</v>
      </c>
      <c r="D290" s="11" t="s">
        <v>1362</v>
      </c>
      <c r="E290" s="12" t="s">
        <v>780</v>
      </c>
      <c r="F290" s="16" t="n">
        <v>3</v>
      </c>
      <c r="G290" s="12" t="s">
        <v>1363</v>
      </c>
      <c r="H290" s="12"/>
      <c r="I290" s="12" t="s">
        <v>1364</v>
      </c>
      <c r="J290" s="12"/>
      <c r="K290" s="17" t="s">
        <v>298</v>
      </c>
    </row>
    <row r="291" customFormat="false" ht="23.85" hidden="false" customHeight="false" outlineLevel="0" collapsed="false">
      <c r="A291" s="12" t="n">
        <v>290</v>
      </c>
      <c r="B291" s="12" t="s">
        <v>106</v>
      </c>
      <c r="C291" s="12" t="s">
        <v>108</v>
      </c>
      <c r="D291" s="11" t="s">
        <v>1187</v>
      </c>
      <c r="E291" s="12" t="s">
        <v>373</v>
      </c>
      <c r="F291" s="16" t="n">
        <v>3</v>
      </c>
      <c r="G291" s="12" t="s">
        <v>1365</v>
      </c>
      <c r="H291" s="12" t="s">
        <v>1366</v>
      </c>
      <c r="I291" s="12" t="s">
        <v>1367</v>
      </c>
      <c r="J291" s="12"/>
      <c r="K291" s="17" t="s">
        <v>298</v>
      </c>
    </row>
    <row r="292" customFormat="false" ht="23.85" hidden="false" customHeight="false" outlineLevel="0" collapsed="false">
      <c r="A292" s="12" t="n">
        <v>291</v>
      </c>
      <c r="B292" s="12" t="s">
        <v>106</v>
      </c>
      <c r="C292" s="12" t="s">
        <v>1311</v>
      </c>
      <c r="D292" s="11" t="s">
        <v>1195</v>
      </c>
      <c r="E292" s="12" t="s">
        <v>313</v>
      </c>
      <c r="F292" s="16" t="n">
        <v>3</v>
      </c>
      <c r="G292" s="12" t="s">
        <v>1368</v>
      </c>
      <c r="H292" s="12" t="s">
        <v>1369</v>
      </c>
      <c r="I292" s="12" t="s">
        <v>1370</v>
      </c>
      <c r="J292" s="12"/>
      <c r="K292" s="17" t="s">
        <v>298</v>
      </c>
    </row>
    <row r="293" customFormat="false" ht="23.85" hidden="false" customHeight="false" outlineLevel="0" collapsed="false">
      <c r="A293" s="12" t="n">
        <v>292</v>
      </c>
      <c r="B293" s="12" t="s">
        <v>106</v>
      </c>
      <c r="C293" s="12" t="s">
        <v>1311</v>
      </c>
      <c r="D293" s="11" t="s">
        <v>1118</v>
      </c>
      <c r="E293" s="12" t="s">
        <v>313</v>
      </c>
      <c r="F293" s="16" t="n">
        <v>3</v>
      </c>
      <c r="G293" s="12" t="s">
        <v>1371</v>
      </c>
      <c r="H293" s="12" t="s">
        <v>1120</v>
      </c>
      <c r="I293" s="12" t="s">
        <v>1372</v>
      </c>
      <c r="J293" s="12"/>
      <c r="K293" s="17" t="s">
        <v>298</v>
      </c>
    </row>
    <row r="294" customFormat="false" ht="23.85" hidden="false" customHeight="false" outlineLevel="0" collapsed="false">
      <c r="A294" s="12" t="n">
        <v>293</v>
      </c>
      <c r="B294" s="12" t="s">
        <v>106</v>
      </c>
      <c r="C294" s="12" t="s">
        <v>1311</v>
      </c>
      <c r="D294" s="11" t="s">
        <v>1191</v>
      </c>
      <c r="E294" s="12" t="s">
        <v>355</v>
      </c>
      <c r="F294" s="16" t="n">
        <v>3</v>
      </c>
      <c r="G294" s="12" t="s">
        <v>1373</v>
      </c>
      <c r="H294" s="12" t="s">
        <v>1193</v>
      </c>
      <c r="I294" s="12" t="s">
        <v>1374</v>
      </c>
      <c r="J294" s="12"/>
      <c r="K294" s="17" t="s">
        <v>298</v>
      </c>
    </row>
    <row r="295" customFormat="false" ht="23.85" hidden="false" customHeight="false" outlineLevel="0" collapsed="false">
      <c r="A295" s="12" t="n">
        <v>294</v>
      </c>
      <c r="B295" s="12" t="s">
        <v>106</v>
      </c>
      <c r="C295" s="12" t="s">
        <v>1257</v>
      </c>
      <c r="D295" s="11" t="s">
        <v>1200</v>
      </c>
      <c r="E295" s="12" t="s">
        <v>301</v>
      </c>
      <c r="F295" s="16" t="n">
        <v>3</v>
      </c>
      <c r="G295" s="12" t="s">
        <v>1375</v>
      </c>
      <c r="H295" s="12" t="s">
        <v>1202</v>
      </c>
      <c r="I295" s="12" t="s">
        <v>1203</v>
      </c>
      <c r="J295" s="12"/>
      <c r="K295" s="17" t="s">
        <v>298</v>
      </c>
    </row>
    <row r="296" customFormat="false" ht="23.85" hidden="false" customHeight="false" outlineLevel="0" collapsed="false">
      <c r="A296" s="12" t="n">
        <v>295</v>
      </c>
      <c r="B296" s="12" t="s">
        <v>106</v>
      </c>
      <c r="C296" s="12" t="s">
        <v>1331</v>
      </c>
      <c r="D296" s="11" t="s">
        <v>1205</v>
      </c>
      <c r="E296" s="12" t="s">
        <v>384</v>
      </c>
      <c r="F296" s="16" t="n">
        <v>3</v>
      </c>
      <c r="G296" s="12" t="s">
        <v>1376</v>
      </c>
      <c r="H296" s="12"/>
      <c r="I296" s="12" t="s">
        <v>1208</v>
      </c>
      <c r="J296" s="12"/>
      <c r="K296" s="17" t="s">
        <v>298</v>
      </c>
    </row>
    <row r="297" customFormat="false" ht="46.25" hidden="false" customHeight="false" outlineLevel="0" collapsed="false">
      <c r="A297" s="12" t="n">
        <v>296</v>
      </c>
      <c r="B297" s="12" t="s">
        <v>112</v>
      </c>
      <c r="C297" s="12" t="s">
        <v>1377</v>
      </c>
      <c r="D297" s="11" t="s">
        <v>1378</v>
      </c>
      <c r="E297" s="12" t="s">
        <v>327</v>
      </c>
      <c r="F297" s="16" t="n">
        <v>1</v>
      </c>
      <c r="G297" s="12" t="s">
        <v>1379</v>
      </c>
      <c r="H297" s="12" t="s">
        <v>1380</v>
      </c>
      <c r="I297" s="12" t="s">
        <v>1381</v>
      </c>
      <c r="J297" s="12" t="s">
        <v>1382</v>
      </c>
      <c r="K297" s="17" t="s">
        <v>298</v>
      </c>
    </row>
    <row r="298" customFormat="false" ht="57.45" hidden="false" customHeight="false" outlineLevel="0" collapsed="false">
      <c r="A298" s="12" t="n">
        <v>297</v>
      </c>
      <c r="B298" s="12" t="s">
        <v>112</v>
      </c>
      <c r="C298" s="12" t="s">
        <v>1383</v>
      </c>
      <c r="D298" s="11" t="s">
        <v>1384</v>
      </c>
      <c r="E298" s="12" t="s">
        <v>301</v>
      </c>
      <c r="F298" s="16" t="n">
        <v>1</v>
      </c>
      <c r="G298" s="12" t="s">
        <v>1385</v>
      </c>
      <c r="H298" s="12" t="s">
        <v>1386</v>
      </c>
      <c r="I298" s="12" t="s">
        <v>1387</v>
      </c>
      <c r="J298" s="12" t="s">
        <v>1388</v>
      </c>
      <c r="K298" s="17" t="s">
        <v>298</v>
      </c>
    </row>
    <row r="299" customFormat="false" ht="68.65" hidden="false" customHeight="false" outlineLevel="0" collapsed="false">
      <c r="A299" s="12" t="n">
        <v>298</v>
      </c>
      <c r="B299" s="12" t="s">
        <v>112</v>
      </c>
      <c r="C299" s="12" t="s">
        <v>1389</v>
      </c>
      <c r="D299" s="11" t="s">
        <v>1390</v>
      </c>
      <c r="E299" s="12" t="s">
        <v>313</v>
      </c>
      <c r="F299" s="16" t="n">
        <v>1</v>
      </c>
      <c r="G299" s="12" t="s">
        <v>1391</v>
      </c>
      <c r="H299" s="12" t="s">
        <v>1392</v>
      </c>
      <c r="I299" s="12" t="s">
        <v>1393</v>
      </c>
      <c r="J299" s="12" t="s">
        <v>1394</v>
      </c>
      <c r="K299" s="17" t="s">
        <v>298</v>
      </c>
    </row>
    <row r="300" customFormat="false" ht="35.05" hidden="false" customHeight="false" outlineLevel="0" collapsed="false">
      <c r="A300" s="12" t="n">
        <v>299</v>
      </c>
      <c r="B300" s="12" t="s">
        <v>112</v>
      </c>
      <c r="C300" s="12" t="s">
        <v>1395</v>
      </c>
      <c r="D300" s="11" t="s">
        <v>1396</v>
      </c>
      <c r="E300" s="12" t="s">
        <v>355</v>
      </c>
      <c r="F300" s="16" t="n">
        <v>1</v>
      </c>
      <c r="G300" s="12" t="s">
        <v>1397</v>
      </c>
      <c r="H300" s="12" t="s">
        <v>1398</v>
      </c>
      <c r="I300" s="12" t="s">
        <v>1399</v>
      </c>
      <c r="J300" s="12" t="s">
        <v>1400</v>
      </c>
      <c r="K300" s="17" t="s">
        <v>298</v>
      </c>
    </row>
    <row r="301" customFormat="false" ht="35.05" hidden="false" customHeight="false" outlineLevel="0" collapsed="false">
      <c r="A301" s="12" t="n">
        <v>300</v>
      </c>
      <c r="B301" s="12" t="s">
        <v>112</v>
      </c>
      <c r="C301" s="12" t="s">
        <v>1401</v>
      </c>
      <c r="D301" s="11" t="s">
        <v>1402</v>
      </c>
      <c r="E301" s="12" t="s">
        <v>293</v>
      </c>
      <c r="F301" s="16" t="n">
        <v>1</v>
      </c>
      <c r="G301" s="12" t="s">
        <v>1403</v>
      </c>
      <c r="H301" s="12" t="s">
        <v>1404</v>
      </c>
      <c r="I301" s="12" t="s">
        <v>1405</v>
      </c>
      <c r="J301" s="12" t="s">
        <v>1406</v>
      </c>
      <c r="K301" s="17" t="s">
        <v>298</v>
      </c>
    </row>
    <row r="302" customFormat="false" ht="35.05" hidden="false" customHeight="false" outlineLevel="0" collapsed="false">
      <c r="A302" s="12" t="n">
        <v>301</v>
      </c>
      <c r="B302" s="12" t="s">
        <v>112</v>
      </c>
      <c r="C302" s="12" t="s">
        <v>1401</v>
      </c>
      <c r="D302" s="11" t="s">
        <v>1407</v>
      </c>
      <c r="E302" s="12" t="s">
        <v>293</v>
      </c>
      <c r="F302" s="16" t="n">
        <v>1</v>
      </c>
      <c r="G302" s="12" t="s">
        <v>1408</v>
      </c>
      <c r="H302" s="12" t="s">
        <v>1409</v>
      </c>
      <c r="I302" s="12" t="s">
        <v>1410</v>
      </c>
      <c r="J302" s="12" t="s">
        <v>1411</v>
      </c>
      <c r="K302" s="17" t="s">
        <v>298</v>
      </c>
    </row>
    <row r="303" customFormat="false" ht="35.05" hidden="false" customHeight="false" outlineLevel="0" collapsed="false">
      <c r="A303" s="12" t="n">
        <v>302</v>
      </c>
      <c r="B303" s="12" t="s">
        <v>112</v>
      </c>
      <c r="C303" s="12" t="s">
        <v>1401</v>
      </c>
      <c r="D303" s="11" t="s">
        <v>1412</v>
      </c>
      <c r="E303" s="12" t="s">
        <v>362</v>
      </c>
      <c r="F303" s="16" t="n">
        <v>1</v>
      </c>
      <c r="G303" s="12" t="s">
        <v>1413</v>
      </c>
      <c r="H303" s="12" t="s">
        <v>1414</v>
      </c>
      <c r="I303" s="12" t="s">
        <v>1415</v>
      </c>
      <c r="J303" s="12" t="s">
        <v>1416</v>
      </c>
      <c r="K303" s="17" t="s">
        <v>298</v>
      </c>
    </row>
    <row r="304" customFormat="false" ht="35.05" hidden="false" customHeight="false" outlineLevel="0" collapsed="false">
      <c r="A304" s="12" t="n">
        <v>303</v>
      </c>
      <c r="B304" s="12" t="s">
        <v>112</v>
      </c>
      <c r="C304" s="12" t="s">
        <v>1417</v>
      </c>
      <c r="D304" s="11" t="s">
        <v>1418</v>
      </c>
      <c r="E304" s="12" t="s">
        <v>320</v>
      </c>
      <c r="F304" s="16" t="n">
        <v>1</v>
      </c>
      <c r="G304" s="12" t="s">
        <v>1419</v>
      </c>
      <c r="H304" s="12" t="s">
        <v>1420</v>
      </c>
      <c r="I304" s="12" t="s">
        <v>1421</v>
      </c>
      <c r="J304" s="12" t="s">
        <v>1422</v>
      </c>
      <c r="K304" s="17" t="s">
        <v>298</v>
      </c>
    </row>
    <row r="305" customFormat="false" ht="35.05" hidden="false" customHeight="false" outlineLevel="0" collapsed="false">
      <c r="A305" s="12" t="n">
        <v>304</v>
      </c>
      <c r="B305" s="12" t="s">
        <v>112</v>
      </c>
      <c r="C305" s="12" t="s">
        <v>1417</v>
      </c>
      <c r="D305" s="11" t="s">
        <v>1423</v>
      </c>
      <c r="E305" s="12" t="s">
        <v>320</v>
      </c>
      <c r="F305" s="16" t="n">
        <v>1</v>
      </c>
      <c r="G305" s="12" t="s">
        <v>1424</v>
      </c>
      <c r="H305" s="12" t="s">
        <v>1425</v>
      </c>
      <c r="I305" s="12" t="s">
        <v>1426</v>
      </c>
      <c r="J305" s="12" t="s">
        <v>1427</v>
      </c>
      <c r="K305" s="17" t="s">
        <v>298</v>
      </c>
    </row>
    <row r="306" customFormat="false" ht="46.25" hidden="false" customHeight="false" outlineLevel="0" collapsed="false">
      <c r="A306" s="12" t="n">
        <v>305</v>
      </c>
      <c r="B306" s="12" t="s">
        <v>112</v>
      </c>
      <c r="C306" s="12" t="s">
        <v>1428</v>
      </c>
      <c r="D306" s="11" t="s">
        <v>1429</v>
      </c>
      <c r="E306" s="12" t="s">
        <v>293</v>
      </c>
      <c r="F306" s="16" t="n">
        <v>1</v>
      </c>
      <c r="G306" s="12" t="s">
        <v>1430</v>
      </c>
      <c r="H306" s="12" t="s">
        <v>1431</v>
      </c>
      <c r="I306" s="12" t="s">
        <v>1432</v>
      </c>
      <c r="J306" s="12" t="s">
        <v>1433</v>
      </c>
      <c r="K306" s="17" t="s">
        <v>298</v>
      </c>
    </row>
    <row r="307" customFormat="false" ht="46.25" hidden="false" customHeight="false" outlineLevel="0" collapsed="false">
      <c r="A307" s="12" t="n">
        <v>306</v>
      </c>
      <c r="B307" s="12" t="s">
        <v>112</v>
      </c>
      <c r="C307" s="12" t="s">
        <v>1434</v>
      </c>
      <c r="D307" s="11" t="s">
        <v>1435</v>
      </c>
      <c r="E307" s="12" t="s">
        <v>293</v>
      </c>
      <c r="F307" s="16" t="n">
        <v>1</v>
      </c>
      <c r="G307" s="12" t="s">
        <v>1436</v>
      </c>
      <c r="H307" s="12" t="s">
        <v>1437</v>
      </c>
      <c r="I307" s="12" t="s">
        <v>1438</v>
      </c>
      <c r="J307" s="12" t="s">
        <v>1439</v>
      </c>
      <c r="K307" s="17" t="s">
        <v>298</v>
      </c>
    </row>
    <row r="308" customFormat="false" ht="57.45" hidden="false" customHeight="false" outlineLevel="0" collapsed="false">
      <c r="A308" s="12" t="n">
        <v>307</v>
      </c>
      <c r="B308" s="12" t="s">
        <v>112</v>
      </c>
      <c r="C308" s="12" t="s">
        <v>116</v>
      </c>
      <c r="D308" s="11" t="s">
        <v>404</v>
      </c>
      <c r="E308" s="12" t="s">
        <v>313</v>
      </c>
      <c r="F308" s="16" t="n">
        <v>2</v>
      </c>
      <c r="G308" s="12" t="s">
        <v>1440</v>
      </c>
      <c r="H308" s="12" t="s">
        <v>1441</v>
      </c>
      <c r="I308" s="12" t="s">
        <v>1442</v>
      </c>
      <c r="J308" s="12"/>
      <c r="K308" s="17" t="s">
        <v>298</v>
      </c>
    </row>
    <row r="309" customFormat="false" ht="23.85" hidden="false" customHeight="false" outlineLevel="0" collapsed="false">
      <c r="A309" s="12" t="n">
        <v>308</v>
      </c>
      <c r="B309" s="12" t="s">
        <v>112</v>
      </c>
      <c r="C309" s="12" t="s">
        <v>116</v>
      </c>
      <c r="D309" s="11" t="s">
        <v>1443</v>
      </c>
      <c r="E309" s="12" t="s">
        <v>373</v>
      </c>
      <c r="F309" s="16" t="n">
        <v>2</v>
      </c>
      <c r="G309" s="12" t="s">
        <v>1444</v>
      </c>
      <c r="H309" s="12" t="s">
        <v>1445</v>
      </c>
      <c r="I309" s="12" t="s">
        <v>1446</v>
      </c>
      <c r="J309" s="12" t="s">
        <v>1447</v>
      </c>
      <c r="K309" s="17" t="s">
        <v>298</v>
      </c>
    </row>
    <row r="310" customFormat="false" ht="57.45" hidden="false" customHeight="false" outlineLevel="0" collapsed="false">
      <c r="A310" s="12" t="n">
        <v>309</v>
      </c>
      <c r="B310" s="12" t="s">
        <v>112</v>
      </c>
      <c r="C310" s="12" t="s">
        <v>1383</v>
      </c>
      <c r="D310" s="11" t="s">
        <v>1448</v>
      </c>
      <c r="E310" s="12" t="s">
        <v>384</v>
      </c>
      <c r="F310" s="16" t="n">
        <v>2</v>
      </c>
      <c r="G310" s="12" t="s">
        <v>1449</v>
      </c>
      <c r="H310" s="12" t="s">
        <v>1450</v>
      </c>
      <c r="I310" s="12" t="s">
        <v>1451</v>
      </c>
      <c r="J310" s="12" t="s">
        <v>1452</v>
      </c>
      <c r="K310" s="17" t="s">
        <v>298</v>
      </c>
    </row>
    <row r="311" customFormat="false" ht="35.05" hidden="false" customHeight="false" outlineLevel="0" collapsed="false">
      <c r="A311" s="12" t="n">
        <v>310</v>
      </c>
      <c r="B311" s="12" t="s">
        <v>112</v>
      </c>
      <c r="C311" s="12" t="s">
        <v>1383</v>
      </c>
      <c r="D311" s="11" t="s">
        <v>1453</v>
      </c>
      <c r="E311" s="12" t="s">
        <v>301</v>
      </c>
      <c r="F311" s="16" t="n">
        <v>2</v>
      </c>
      <c r="G311" s="12" t="s">
        <v>1454</v>
      </c>
      <c r="H311" s="12" t="s">
        <v>1455</v>
      </c>
      <c r="I311" s="12" t="s">
        <v>1456</v>
      </c>
      <c r="J311" s="12" t="s">
        <v>1457</v>
      </c>
      <c r="K311" s="17" t="s">
        <v>298</v>
      </c>
    </row>
    <row r="312" customFormat="false" ht="15" hidden="false" customHeight="false" outlineLevel="0" collapsed="false">
      <c r="A312" s="12" t="n">
        <v>311</v>
      </c>
      <c r="B312" s="12" t="s">
        <v>112</v>
      </c>
      <c r="C312" s="12" t="s">
        <v>116</v>
      </c>
      <c r="D312" s="11" t="s">
        <v>882</v>
      </c>
      <c r="E312" s="12" t="s">
        <v>373</v>
      </c>
      <c r="F312" s="16" t="n">
        <v>3</v>
      </c>
      <c r="G312" s="12" t="s">
        <v>1458</v>
      </c>
      <c r="H312" s="12" t="s">
        <v>1459</v>
      </c>
      <c r="I312" s="12"/>
      <c r="J312" s="12"/>
      <c r="K312" s="17" t="s">
        <v>298</v>
      </c>
    </row>
    <row r="313" customFormat="false" ht="23.85" hidden="false" customHeight="false" outlineLevel="0" collapsed="false">
      <c r="A313" s="12" t="n">
        <v>312</v>
      </c>
      <c r="B313" s="12" t="s">
        <v>112</v>
      </c>
      <c r="C313" s="12" t="s">
        <v>116</v>
      </c>
      <c r="D313" s="11" t="s">
        <v>409</v>
      </c>
      <c r="E313" s="12" t="s">
        <v>410</v>
      </c>
      <c r="F313" s="16" t="n">
        <v>3</v>
      </c>
      <c r="G313" s="12" t="s">
        <v>1460</v>
      </c>
      <c r="H313" s="12"/>
      <c r="I313" s="12"/>
      <c r="J313" s="12"/>
      <c r="K313" s="17" t="s">
        <v>298</v>
      </c>
    </row>
    <row r="314" customFormat="false" ht="23.85" hidden="false" customHeight="false" outlineLevel="0" collapsed="false">
      <c r="A314" s="12" t="n">
        <v>313</v>
      </c>
      <c r="B314" s="12" t="s">
        <v>112</v>
      </c>
      <c r="C314" s="12" t="s">
        <v>116</v>
      </c>
      <c r="D314" s="11" t="s">
        <v>412</v>
      </c>
      <c r="E314" s="12" t="s">
        <v>410</v>
      </c>
      <c r="F314" s="16" t="n">
        <v>3</v>
      </c>
      <c r="G314" s="12" t="s">
        <v>1461</v>
      </c>
      <c r="H314" s="12"/>
      <c r="I314" s="12"/>
      <c r="J314" s="12"/>
      <c r="K314" s="17" t="s">
        <v>298</v>
      </c>
    </row>
    <row r="315" customFormat="false" ht="23.85" hidden="false" customHeight="false" outlineLevel="0" collapsed="false">
      <c r="A315" s="12" t="n">
        <v>314</v>
      </c>
      <c r="B315" s="12" t="s">
        <v>112</v>
      </c>
      <c r="C315" s="12" t="s">
        <v>116</v>
      </c>
      <c r="D315" s="11" t="s">
        <v>414</v>
      </c>
      <c r="E315" s="12" t="s">
        <v>384</v>
      </c>
      <c r="F315" s="16" t="n">
        <v>3</v>
      </c>
      <c r="G315" s="12" t="s">
        <v>1462</v>
      </c>
      <c r="H315" s="12"/>
      <c r="I315" s="12" t="s">
        <v>1463</v>
      </c>
      <c r="J315" s="12"/>
      <c r="K315" s="17" t="s">
        <v>298</v>
      </c>
    </row>
    <row r="316" customFormat="false" ht="23.85" hidden="false" customHeight="false" outlineLevel="0" collapsed="false">
      <c r="A316" s="12" t="n">
        <v>315</v>
      </c>
      <c r="B316" s="12" t="s">
        <v>112</v>
      </c>
      <c r="C316" s="12" t="s">
        <v>1464</v>
      </c>
      <c r="D316" s="11" t="s">
        <v>1465</v>
      </c>
      <c r="E316" s="12" t="s">
        <v>780</v>
      </c>
      <c r="F316" s="16" t="n">
        <v>3</v>
      </c>
      <c r="G316" s="12" t="s">
        <v>1466</v>
      </c>
      <c r="H316" s="12"/>
      <c r="I316" s="12" t="s">
        <v>1467</v>
      </c>
      <c r="J316" s="12"/>
      <c r="K316" s="17" t="s">
        <v>298</v>
      </c>
    </row>
    <row r="317" customFormat="false" ht="23.85" hidden="false" customHeight="false" outlineLevel="0" collapsed="false">
      <c r="A317" s="12" t="n">
        <v>316</v>
      </c>
      <c r="B317" s="12" t="s">
        <v>112</v>
      </c>
      <c r="C317" s="12" t="s">
        <v>1464</v>
      </c>
      <c r="D317" s="11" t="s">
        <v>1468</v>
      </c>
      <c r="E317" s="12" t="s">
        <v>780</v>
      </c>
      <c r="F317" s="16" t="n">
        <v>3</v>
      </c>
      <c r="G317" s="12" t="s">
        <v>1469</v>
      </c>
      <c r="H317" s="12"/>
      <c r="I317" s="12" t="s">
        <v>1470</v>
      </c>
      <c r="J317" s="12"/>
      <c r="K317" s="17" t="s">
        <v>298</v>
      </c>
    </row>
    <row r="318" customFormat="false" ht="23.85" hidden="false" customHeight="false" outlineLevel="0" collapsed="false">
      <c r="A318" s="12" t="n">
        <v>317</v>
      </c>
      <c r="B318" s="12" t="s">
        <v>112</v>
      </c>
      <c r="C318" s="12" t="s">
        <v>1464</v>
      </c>
      <c r="D318" s="11" t="s">
        <v>1471</v>
      </c>
      <c r="E318" s="12" t="s">
        <v>780</v>
      </c>
      <c r="F318" s="16" t="n">
        <v>3</v>
      </c>
      <c r="G318" s="12" t="s">
        <v>1472</v>
      </c>
      <c r="H318" s="12"/>
      <c r="I318" s="12" t="s">
        <v>1473</v>
      </c>
      <c r="J318" s="12"/>
      <c r="K318" s="17" t="s">
        <v>298</v>
      </c>
    </row>
    <row r="319" customFormat="false" ht="15" hidden="false" customHeight="false" outlineLevel="0" collapsed="false">
      <c r="A319" s="12" t="n">
        <v>318</v>
      </c>
      <c r="B319" s="12" t="s">
        <v>112</v>
      </c>
      <c r="C319" s="12" t="s">
        <v>1474</v>
      </c>
      <c r="D319" s="11" t="s">
        <v>1475</v>
      </c>
      <c r="E319" s="12" t="s">
        <v>410</v>
      </c>
      <c r="F319" s="16" t="n">
        <v>3</v>
      </c>
      <c r="G319" s="12" t="s">
        <v>1476</v>
      </c>
      <c r="H319" s="12"/>
      <c r="I319" s="12"/>
      <c r="J319" s="12"/>
      <c r="K319" s="17" t="s">
        <v>298</v>
      </c>
    </row>
    <row r="320" customFormat="false" ht="23.85" hidden="false" customHeight="false" outlineLevel="0" collapsed="false">
      <c r="A320" s="12" t="n">
        <v>319</v>
      </c>
      <c r="B320" s="12" t="s">
        <v>112</v>
      </c>
      <c r="C320" s="12" t="s">
        <v>1474</v>
      </c>
      <c r="D320" s="11" t="s">
        <v>1477</v>
      </c>
      <c r="E320" s="12" t="s">
        <v>1478</v>
      </c>
      <c r="F320" s="16" t="n">
        <v>3</v>
      </c>
      <c r="G320" s="12" t="s">
        <v>1479</v>
      </c>
      <c r="H320" s="12"/>
      <c r="I320" s="12" t="s">
        <v>1480</v>
      </c>
      <c r="J320" s="12"/>
      <c r="K320" s="17" t="s">
        <v>298</v>
      </c>
    </row>
    <row r="321" customFormat="false" ht="23.85" hidden="false" customHeight="false" outlineLevel="0" collapsed="false">
      <c r="A321" s="12" t="n">
        <v>320</v>
      </c>
      <c r="B321" s="12" t="s">
        <v>112</v>
      </c>
      <c r="C321" s="12" t="s">
        <v>1474</v>
      </c>
      <c r="D321" s="11" t="s">
        <v>1481</v>
      </c>
      <c r="E321" s="12" t="s">
        <v>313</v>
      </c>
      <c r="F321" s="16" t="n">
        <v>3</v>
      </c>
      <c r="G321" s="12" t="s">
        <v>1482</v>
      </c>
      <c r="H321" s="12" t="s">
        <v>1483</v>
      </c>
      <c r="I321" s="12" t="s">
        <v>1484</v>
      </c>
      <c r="J321" s="12" t="s">
        <v>1485</v>
      </c>
      <c r="K321" s="17" t="s">
        <v>298</v>
      </c>
    </row>
    <row r="322" customFormat="false" ht="23.85" hidden="false" customHeight="false" outlineLevel="0" collapsed="false">
      <c r="A322" s="12" t="n">
        <v>321</v>
      </c>
      <c r="B322" s="12" t="s">
        <v>112</v>
      </c>
      <c r="C322" s="12" t="s">
        <v>1474</v>
      </c>
      <c r="D322" s="11" t="s">
        <v>1486</v>
      </c>
      <c r="E322" s="12" t="s">
        <v>373</v>
      </c>
      <c r="F322" s="16" t="n">
        <v>3</v>
      </c>
      <c r="G322" s="12" t="s">
        <v>1487</v>
      </c>
      <c r="H322" s="12"/>
      <c r="I322" s="12" t="s">
        <v>1488</v>
      </c>
      <c r="J322" s="12" t="s">
        <v>1489</v>
      </c>
      <c r="K322" s="17" t="s">
        <v>298</v>
      </c>
    </row>
    <row r="323" customFormat="false" ht="15" hidden="false" customHeight="false" outlineLevel="0" collapsed="false">
      <c r="A323" s="12" t="n">
        <v>322</v>
      </c>
      <c r="B323" s="12" t="s">
        <v>112</v>
      </c>
      <c r="C323" s="12" t="s">
        <v>1474</v>
      </c>
      <c r="D323" s="11" t="s">
        <v>1490</v>
      </c>
      <c r="E323" s="12" t="s">
        <v>1491</v>
      </c>
      <c r="F323" s="16" t="n">
        <v>3</v>
      </c>
      <c r="G323" s="12" t="s">
        <v>1492</v>
      </c>
      <c r="H323" s="12"/>
      <c r="I323" s="12" t="s">
        <v>1493</v>
      </c>
      <c r="J323" s="12"/>
      <c r="K323" s="17" t="s">
        <v>298</v>
      </c>
    </row>
    <row r="324" customFormat="false" ht="23.85" hidden="false" customHeight="false" outlineLevel="0" collapsed="false">
      <c r="A324" s="12" t="n">
        <v>323</v>
      </c>
      <c r="B324" s="12" t="s">
        <v>112</v>
      </c>
      <c r="C324" s="12" t="s">
        <v>1389</v>
      </c>
      <c r="D324" s="11" t="s">
        <v>1494</v>
      </c>
      <c r="E324" s="12" t="s">
        <v>384</v>
      </c>
      <c r="F324" s="16" t="n">
        <v>3</v>
      </c>
      <c r="G324" s="12" t="s">
        <v>1495</v>
      </c>
      <c r="H324" s="12" t="s">
        <v>1496</v>
      </c>
      <c r="I324" s="12" t="s">
        <v>1497</v>
      </c>
      <c r="J324" s="12" t="s">
        <v>1498</v>
      </c>
      <c r="K324" s="17" t="s">
        <v>298</v>
      </c>
    </row>
    <row r="325" customFormat="false" ht="57.45" hidden="false" customHeight="false" outlineLevel="0" collapsed="false">
      <c r="A325" s="12" t="n">
        <v>324</v>
      </c>
      <c r="B325" s="12" t="s">
        <v>112</v>
      </c>
      <c r="C325" s="12" t="s">
        <v>1401</v>
      </c>
      <c r="D325" s="11" t="s">
        <v>1499</v>
      </c>
      <c r="E325" s="12" t="s">
        <v>384</v>
      </c>
      <c r="F325" s="16" t="n">
        <v>3</v>
      </c>
      <c r="G325" s="12" t="s">
        <v>1500</v>
      </c>
      <c r="H325" s="12" t="s">
        <v>1501</v>
      </c>
      <c r="I325" s="12" t="s">
        <v>1502</v>
      </c>
      <c r="J325" s="12" t="s">
        <v>1503</v>
      </c>
      <c r="K325" s="17" t="s">
        <v>298</v>
      </c>
    </row>
    <row r="326" customFormat="false" ht="46.25" hidden="false" customHeight="false" outlineLevel="0" collapsed="false">
      <c r="A326" s="12" t="n">
        <v>325</v>
      </c>
      <c r="B326" s="12" t="s">
        <v>112</v>
      </c>
      <c r="C326" s="12" t="s">
        <v>1417</v>
      </c>
      <c r="D326" s="11" t="s">
        <v>1504</v>
      </c>
      <c r="E326" s="12" t="s">
        <v>384</v>
      </c>
      <c r="F326" s="16" t="n">
        <v>3</v>
      </c>
      <c r="G326" s="12" t="s">
        <v>1505</v>
      </c>
      <c r="H326" s="12" t="s">
        <v>1506</v>
      </c>
      <c r="I326" s="12" t="s">
        <v>1507</v>
      </c>
      <c r="J326" s="12" t="s">
        <v>1508</v>
      </c>
      <c r="K326" s="17" t="s">
        <v>298</v>
      </c>
    </row>
    <row r="327" customFormat="false" ht="46.25" hidden="false" customHeight="false" outlineLevel="0" collapsed="false">
      <c r="A327" s="12" t="n">
        <v>326</v>
      </c>
      <c r="B327" s="12" t="s">
        <v>112</v>
      </c>
      <c r="C327" s="12" t="s">
        <v>1428</v>
      </c>
      <c r="D327" s="11" t="s">
        <v>1509</v>
      </c>
      <c r="E327" s="12" t="s">
        <v>384</v>
      </c>
      <c r="F327" s="16" t="n">
        <v>3</v>
      </c>
      <c r="G327" s="12" t="s">
        <v>1510</v>
      </c>
      <c r="H327" s="12" t="s">
        <v>1511</v>
      </c>
      <c r="I327" s="12" t="s">
        <v>1512</v>
      </c>
      <c r="J327" s="12" t="s">
        <v>1513</v>
      </c>
      <c r="K327" s="17" t="s">
        <v>298</v>
      </c>
    </row>
    <row r="328" customFormat="false" ht="23.85" hidden="false" customHeight="false" outlineLevel="0" collapsed="false">
      <c r="A328" s="12" t="n">
        <v>327</v>
      </c>
      <c r="B328" s="12" t="s">
        <v>120</v>
      </c>
      <c r="C328" s="12" t="s">
        <v>1514</v>
      </c>
      <c r="D328" s="11" t="s">
        <v>361</v>
      </c>
      <c r="E328" s="12" t="s">
        <v>362</v>
      </c>
      <c r="F328" s="16" t="n">
        <v>1</v>
      </c>
      <c r="G328" s="12" t="s">
        <v>1515</v>
      </c>
      <c r="H328" s="12" t="s">
        <v>1516</v>
      </c>
      <c r="I328" s="12" t="s">
        <v>1517</v>
      </c>
      <c r="J328" s="12" t="s">
        <v>1518</v>
      </c>
      <c r="K328" s="17" t="s">
        <v>298</v>
      </c>
    </row>
    <row r="329" customFormat="false" ht="35.05" hidden="false" customHeight="false" outlineLevel="0" collapsed="false">
      <c r="A329" s="12" t="n">
        <v>328</v>
      </c>
      <c r="B329" s="12" t="s">
        <v>120</v>
      </c>
      <c r="C329" s="12" t="s">
        <v>1514</v>
      </c>
      <c r="D329" s="11" t="s">
        <v>1519</v>
      </c>
      <c r="E329" s="12" t="s">
        <v>320</v>
      </c>
      <c r="F329" s="16" t="n">
        <v>1</v>
      </c>
      <c r="G329" s="12" t="s">
        <v>1520</v>
      </c>
      <c r="H329" s="12" t="s">
        <v>1521</v>
      </c>
      <c r="I329" s="12" t="s">
        <v>1522</v>
      </c>
      <c r="J329" s="12" t="s">
        <v>1523</v>
      </c>
      <c r="K329" s="17" t="s">
        <v>298</v>
      </c>
    </row>
    <row r="330" customFormat="false" ht="23.85" hidden="false" customHeight="false" outlineLevel="0" collapsed="false">
      <c r="A330" s="12" t="n">
        <v>329</v>
      </c>
      <c r="B330" s="12" t="s">
        <v>120</v>
      </c>
      <c r="C330" s="12" t="s">
        <v>1514</v>
      </c>
      <c r="D330" s="11" t="s">
        <v>326</v>
      </c>
      <c r="E330" s="12" t="s">
        <v>327</v>
      </c>
      <c r="F330" s="16" t="n">
        <v>1</v>
      </c>
      <c r="G330" s="12" t="s">
        <v>1524</v>
      </c>
      <c r="H330" s="12" t="s">
        <v>1525</v>
      </c>
      <c r="I330" s="12" t="s">
        <v>1526</v>
      </c>
      <c r="J330" s="12" t="s">
        <v>1527</v>
      </c>
      <c r="K330" s="17" t="s">
        <v>298</v>
      </c>
    </row>
    <row r="331" customFormat="false" ht="46.25" hidden="false" customHeight="false" outlineLevel="0" collapsed="false">
      <c r="A331" s="12" t="n">
        <v>330</v>
      </c>
      <c r="B331" s="12" t="s">
        <v>120</v>
      </c>
      <c r="C331" s="12" t="s">
        <v>1514</v>
      </c>
      <c r="D331" s="11" t="s">
        <v>1528</v>
      </c>
      <c r="E331" s="12" t="s">
        <v>301</v>
      </c>
      <c r="F331" s="16" t="n">
        <v>1</v>
      </c>
      <c r="G331" s="12" t="s">
        <v>1529</v>
      </c>
      <c r="H331" s="12" t="s">
        <v>1530</v>
      </c>
      <c r="I331" s="12" t="s">
        <v>1531</v>
      </c>
      <c r="J331" s="12" t="s">
        <v>1532</v>
      </c>
      <c r="K331" s="17" t="s">
        <v>298</v>
      </c>
    </row>
    <row r="332" customFormat="false" ht="23.85" hidden="false" customHeight="false" outlineLevel="0" collapsed="false">
      <c r="A332" s="12" t="n">
        <v>331</v>
      </c>
      <c r="B332" s="12" t="s">
        <v>120</v>
      </c>
      <c r="C332" s="12" t="s">
        <v>1533</v>
      </c>
      <c r="D332" s="11" t="s">
        <v>1534</v>
      </c>
      <c r="E332" s="12" t="s">
        <v>373</v>
      </c>
      <c r="F332" s="16" t="n">
        <v>2</v>
      </c>
      <c r="G332" s="12" t="s">
        <v>1535</v>
      </c>
      <c r="H332" s="12" t="s">
        <v>1536</v>
      </c>
      <c r="I332" s="12" t="s">
        <v>1537</v>
      </c>
      <c r="J332" s="12"/>
      <c r="K332" s="17" t="s">
        <v>298</v>
      </c>
    </row>
    <row r="333" customFormat="false" ht="23.85" hidden="false" customHeight="false" outlineLevel="0" collapsed="false">
      <c r="A333" s="12" t="n">
        <v>332</v>
      </c>
      <c r="B333" s="12" t="s">
        <v>120</v>
      </c>
      <c r="C333" s="12" t="s">
        <v>1514</v>
      </c>
      <c r="D333" s="11" t="s">
        <v>312</v>
      </c>
      <c r="E333" s="12" t="s">
        <v>313</v>
      </c>
      <c r="F333" s="16" t="n">
        <v>2</v>
      </c>
      <c r="G333" s="12" t="s">
        <v>1538</v>
      </c>
      <c r="H333" s="12" t="s">
        <v>1539</v>
      </c>
      <c r="I333" s="12" t="s">
        <v>1540</v>
      </c>
      <c r="J333" s="12"/>
      <c r="K333" s="17" t="s">
        <v>298</v>
      </c>
    </row>
    <row r="334" customFormat="false" ht="57.45" hidden="false" customHeight="false" outlineLevel="0" collapsed="false">
      <c r="A334" s="12" t="n">
        <v>333</v>
      </c>
      <c r="B334" s="12" t="s">
        <v>120</v>
      </c>
      <c r="C334" s="12" t="s">
        <v>1541</v>
      </c>
      <c r="D334" s="11" t="s">
        <v>1542</v>
      </c>
      <c r="E334" s="12" t="s">
        <v>384</v>
      </c>
      <c r="F334" s="16" t="n">
        <v>2</v>
      </c>
      <c r="G334" s="12" t="s">
        <v>1543</v>
      </c>
      <c r="H334" s="12" t="s">
        <v>1544</v>
      </c>
      <c r="I334" s="12" t="s">
        <v>1545</v>
      </c>
      <c r="J334" s="12" t="s">
        <v>1546</v>
      </c>
      <c r="K334" s="17" t="s">
        <v>298</v>
      </c>
    </row>
    <row r="335" customFormat="false" ht="15" hidden="false" customHeight="false" outlineLevel="0" collapsed="false">
      <c r="A335" s="12" t="n">
        <v>334</v>
      </c>
      <c r="B335" s="12" t="s">
        <v>120</v>
      </c>
      <c r="C335" s="12" t="s">
        <v>123</v>
      </c>
      <c r="D335" s="11" t="s">
        <v>404</v>
      </c>
      <c r="E335" s="12" t="s">
        <v>313</v>
      </c>
      <c r="F335" s="16" t="n">
        <v>3</v>
      </c>
      <c r="G335" s="12" t="s">
        <v>1547</v>
      </c>
      <c r="H335" s="12" t="s">
        <v>1548</v>
      </c>
      <c r="I335" s="12"/>
      <c r="J335" s="12"/>
      <c r="K335" s="17" t="s">
        <v>298</v>
      </c>
    </row>
    <row r="336" customFormat="false" ht="15" hidden="false" customHeight="false" outlineLevel="0" collapsed="false">
      <c r="A336" s="12" t="n">
        <v>335</v>
      </c>
      <c r="B336" s="12" t="s">
        <v>120</v>
      </c>
      <c r="C336" s="12" t="s">
        <v>123</v>
      </c>
      <c r="D336" s="11" t="s">
        <v>409</v>
      </c>
      <c r="E336" s="12" t="s">
        <v>410</v>
      </c>
      <c r="F336" s="16" t="n">
        <v>3</v>
      </c>
      <c r="G336" s="12" t="s">
        <v>1549</v>
      </c>
      <c r="H336" s="12"/>
      <c r="I336" s="12"/>
      <c r="J336" s="12"/>
      <c r="K336" s="17" t="s">
        <v>298</v>
      </c>
    </row>
    <row r="337" customFormat="false" ht="15" hidden="false" customHeight="false" outlineLevel="0" collapsed="false">
      <c r="A337" s="12" t="n">
        <v>336</v>
      </c>
      <c r="B337" s="12" t="s">
        <v>120</v>
      </c>
      <c r="C337" s="12" t="s">
        <v>123</v>
      </c>
      <c r="D337" s="11" t="s">
        <v>412</v>
      </c>
      <c r="E337" s="12" t="s">
        <v>410</v>
      </c>
      <c r="F337" s="16" t="n">
        <v>3</v>
      </c>
      <c r="G337" s="12" t="s">
        <v>1550</v>
      </c>
      <c r="H337" s="12"/>
      <c r="I337" s="12"/>
      <c r="J337" s="12"/>
      <c r="K337" s="17" t="s">
        <v>298</v>
      </c>
    </row>
    <row r="338" customFormat="false" ht="35.05" hidden="false" customHeight="false" outlineLevel="0" collapsed="false">
      <c r="A338" s="12" t="n">
        <v>337</v>
      </c>
      <c r="B338" s="12" t="s">
        <v>120</v>
      </c>
      <c r="C338" s="12" t="s">
        <v>1551</v>
      </c>
      <c r="D338" s="11" t="s">
        <v>1552</v>
      </c>
      <c r="E338" s="12" t="s">
        <v>780</v>
      </c>
      <c r="F338" s="16" t="n">
        <v>3</v>
      </c>
      <c r="G338" s="12" t="s">
        <v>1553</v>
      </c>
      <c r="H338" s="12"/>
      <c r="I338" s="12" t="s">
        <v>1554</v>
      </c>
      <c r="J338" s="12"/>
      <c r="K338" s="17" t="s">
        <v>298</v>
      </c>
    </row>
    <row r="339" customFormat="false" ht="23.85" hidden="false" customHeight="false" outlineLevel="0" collapsed="false">
      <c r="A339" s="12" t="n">
        <v>338</v>
      </c>
      <c r="B339" s="12" t="s">
        <v>120</v>
      </c>
      <c r="C339" s="12" t="s">
        <v>1551</v>
      </c>
      <c r="D339" s="11" t="s">
        <v>1555</v>
      </c>
      <c r="E339" s="12" t="s">
        <v>780</v>
      </c>
      <c r="F339" s="16" t="n">
        <v>3</v>
      </c>
      <c r="G339" s="12" t="s">
        <v>1556</v>
      </c>
      <c r="H339" s="12"/>
      <c r="I339" s="12" t="s">
        <v>1554</v>
      </c>
      <c r="J339" s="12"/>
      <c r="K339" s="17" t="s">
        <v>298</v>
      </c>
    </row>
    <row r="340" customFormat="false" ht="15" hidden="false" customHeight="false" outlineLevel="0" collapsed="false">
      <c r="A340" s="12" t="n">
        <v>339</v>
      </c>
      <c r="B340" s="12" t="s">
        <v>120</v>
      </c>
      <c r="C340" s="12" t="s">
        <v>123</v>
      </c>
      <c r="D340" s="11" t="s">
        <v>418</v>
      </c>
      <c r="E340" s="12" t="s">
        <v>373</v>
      </c>
      <c r="F340" s="16" t="n">
        <v>3</v>
      </c>
      <c r="G340" s="12" t="s">
        <v>1557</v>
      </c>
      <c r="H340" s="12"/>
      <c r="I340" s="12"/>
      <c r="J340" s="12"/>
      <c r="K340" s="17" t="s">
        <v>298</v>
      </c>
    </row>
    <row r="341" customFormat="false" ht="15" hidden="false" customHeight="false" outlineLevel="0" collapsed="false">
      <c r="A341" s="12" t="n">
        <v>340</v>
      </c>
      <c r="B341" s="12" t="s">
        <v>120</v>
      </c>
      <c r="C341" s="12" t="s">
        <v>123</v>
      </c>
      <c r="D341" s="11" t="s">
        <v>422</v>
      </c>
      <c r="E341" s="12" t="s">
        <v>373</v>
      </c>
      <c r="F341" s="16" t="n">
        <v>3</v>
      </c>
      <c r="G341" s="12" t="s">
        <v>1558</v>
      </c>
      <c r="H341" s="12" t="s">
        <v>1559</v>
      </c>
      <c r="I341" s="12"/>
      <c r="J341" s="12"/>
      <c r="K341" s="17" t="s">
        <v>298</v>
      </c>
    </row>
    <row r="342" customFormat="false" ht="35.05" hidden="false" customHeight="false" outlineLevel="0" collapsed="false">
      <c r="A342" s="12" t="n">
        <v>341</v>
      </c>
      <c r="B342" s="12" t="s">
        <v>127</v>
      </c>
      <c r="C342" s="12" t="s">
        <v>1560</v>
      </c>
      <c r="D342" s="11" t="s">
        <v>1561</v>
      </c>
      <c r="E342" s="12" t="s">
        <v>780</v>
      </c>
      <c r="F342" s="16" t="n">
        <v>3</v>
      </c>
      <c r="G342" s="12" t="s">
        <v>1562</v>
      </c>
      <c r="H342" s="12"/>
      <c r="I342" s="12" t="s">
        <v>1563</v>
      </c>
      <c r="J342" s="12"/>
      <c r="K342" s="17" t="s">
        <v>298</v>
      </c>
    </row>
    <row r="343" customFormat="false" ht="35.05" hidden="false" customHeight="false" outlineLevel="0" collapsed="false">
      <c r="A343" s="12" t="n">
        <v>342</v>
      </c>
      <c r="B343" s="12" t="s">
        <v>127</v>
      </c>
      <c r="C343" s="12" t="s">
        <v>1560</v>
      </c>
      <c r="D343" s="11" t="s">
        <v>1564</v>
      </c>
      <c r="E343" s="12" t="s">
        <v>780</v>
      </c>
      <c r="F343" s="16" t="n">
        <v>3</v>
      </c>
      <c r="G343" s="12" t="s">
        <v>1565</v>
      </c>
      <c r="H343" s="12"/>
      <c r="I343" s="12" t="s">
        <v>1563</v>
      </c>
      <c r="J343" s="12"/>
      <c r="K343" s="17" t="s">
        <v>298</v>
      </c>
    </row>
    <row r="344" customFormat="false" ht="23.85" hidden="false" customHeight="false" outlineLevel="0" collapsed="false">
      <c r="A344" s="12" t="n">
        <v>343</v>
      </c>
      <c r="B344" s="12" t="s">
        <v>127</v>
      </c>
      <c r="C344" s="12" t="s">
        <v>1560</v>
      </c>
      <c r="D344" s="11" t="s">
        <v>1566</v>
      </c>
      <c r="E344" s="12" t="s">
        <v>780</v>
      </c>
      <c r="F344" s="16" t="n">
        <v>3</v>
      </c>
      <c r="G344" s="12" t="s">
        <v>1567</v>
      </c>
      <c r="H344" s="12"/>
      <c r="I344" s="12" t="s">
        <v>1563</v>
      </c>
      <c r="J344" s="12"/>
      <c r="K344" s="17" t="s">
        <v>298</v>
      </c>
    </row>
    <row r="345" customFormat="false" ht="23.85" hidden="false" customHeight="false" outlineLevel="0" collapsed="false">
      <c r="A345" s="12" t="n">
        <v>344</v>
      </c>
      <c r="B345" s="12" t="s">
        <v>127</v>
      </c>
      <c r="C345" s="12" t="s">
        <v>1560</v>
      </c>
      <c r="D345" s="11" t="s">
        <v>1568</v>
      </c>
      <c r="E345" s="12" t="s">
        <v>780</v>
      </c>
      <c r="F345" s="16" t="n">
        <v>3</v>
      </c>
      <c r="G345" s="12" t="s">
        <v>1569</v>
      </c>
      <c r="H345" s="12"/>
      <c r="I345" s="12" t="s">
        <v>1563</v>
      </c>
      <c r="J345" s="12"/>
      <c r="K345" s="17" t="s">
        <v>298</v>
      </c>
    </row>
    <row r="346" customFormat="false" ht="23.85" hidden="false" customHeight="false" outlineLevel="0" collapsed="false">
      <c r="A346" s="12" t="n">
        <v>345</v>
      </c>
      <c r="B346" s="12" t="s">
        <v>127</v>
      </c>
      <c r="C346" s="12" t="s">
        <v>1560</v>
      </c>
      <c r="D346" s="11" t="s">
        <v>1570</v>
      </c>
      <c r="E346" s="12" t="s">
        <v>780</v>
      </c>
      <c r="F346" s="16" t="n">
        <v>3</v>
      </c>
      <c r="G346" s="12" t="s">
        <v>1571</v>
      </c>
      <c r="H346" s="12"/>
      <c r="I346" s="12" t="s">
        <v>1563</v>
      </c>
      <c r="J346" s="12"/>
      <c r="K346" s="17" t="s">
        <v>298</v>
      </c>
    </row>
    <row r="347" customFormat="false" ht="35.05" hidden="false" customHeight="false" outlineLevel="0" collapsed="false">
      <c r="A347" s="12" t="n">
        <v>346</v>
      </c>
      <c r="B347" s="12" t="s">
        <v>127</v>
      </c>
      <c r="C347" s="12" t="s">
        <v>1560</v>
      </c>
      <c r="D347" s="11" t="s">
        <v>1572</v>
      </c>
      <c r="E347" s="12" t="s">
        <v>780</v>
      </c>
      <c r="F347" s="16" t="n">
        <v>3</v>
      </c>
      <c r="G347" s="12" t="s">
        <v>1573</v>
      </c>
      <c r="H347" s="12"/>
      <c r="I347" s="12" t="s">
        <v>1563</v>
      </c>
      <c r="J347" s="12"/>
      <c r="K347" s="17" t="s">
        <v>298</v>
      </c>
    </row>
    <row r="348" customFormat="false" ht="35.05" hidden="false" customHeight="false" outlineLevel="0" collapsed="false">
      <c r="A348" s="12" t="n">
        <v>347</v>
      </c>
      <c r="B348" s="12" t="s">
        <v>127</v>
      </c>
      <c r="C348" s="12" t="s">
        <v>1560</v>
      </c>
      <c r="D348" s="11" t="s">
        <v>1574</v>
      </c>
      <c r="E348" s="12" t="s">
        <v>780</v>
      </c>
      <c r="F348" s="16" t="n">
        <v>3</v>
      </c>
      <c r="G348" s="12" t="s">
        <v>1575</v>
      </c>
      <c r="H348" s="12"/>
      <c r="I348" s="12" t="s">
        <v>1563</v>
      </c>
      <c r="J348" s="12"/>
      <c r="K348" s="17" t="s">
        <v>298</v>
      </c>
    </row>
    <row r="349" customFormat="false" ht="35.05" hidden="false" customHeight="false" outlineLevel="0" collapsed="false">
      <c r="A349" s="12" t="n">
        <v>348</v>
      </c>
      <c r="B349" s="12" t="s">
        <v>127</v>
      </c>
      <c r="C349" s="12" t="s">
        <v>1560</v>
      </c>
      <c r="D349" s="11" t="s">
        <v>1576</v>
      </c>
      <c r="E349" s="12" t="s">
        <v>780</v>
      </c>
      <c r="F349" s="16" t="n">
        <v>3</v>
      </c>
      <c r="G349" s="12" t="s">
        <v>1577</v>
      </c>
      <c r="H349" s="12"/>
      <c r="I349" s="12" t="s">
        <v>1563</v>
      </c>
      <c r="J349" s="12" t="s">
        <v>1578</v>
      </c>
      <c r="K349" s="17" t="s">
        <v>298</v>
      </c>
    </row>
    <row r="350" customFormat="false" ht="35.05" hidden="false" customHeight="false" outlineLevel="0" collapsed="false">
      <c r="A350" s="12" t="n">
        <v>349</v>
      </c>
      <c r="B350" s="12" t="s">
        <v>132</v>
      </c>
      <c r="C350" s="12" t="s">
        <v>1579</v>
      </c>
      <c r="D350" s="11" t="s">
        <v>1580</v>
      </c>
      <c r="E350" s="12" t="s">
        <v>327</v>
      </c>
      <c r="F350" s="16" t="n">
        <v>1</v>
      </c>
      <c r="G350" s="12" t="s">
        <v>1581</v>
      </c>
      <c r="H350" s="12" t="s">
        <v>1582</v>
      </c>
      <c r="I350" s="12" t="s">
        <v>1583</v>
      </c>
      <c r="J350" s="12" t="s">
        <v>1584</v>
      </c>
      <c r="K350" s="17" t="s">
        <v>298</v>
      </c>
    </row>
    <row r="351" customFormat="false" ht="35.05" hidden="false" customHeight="false" outlineLevel="0" collapsed="false">
      <c r="A351" s="12" t="n">
        <v>350</v>
      </c>
      <c r="B351" s="12" t="s">
        <v>132</v>
      </c>
      <c r="C351" s="12" t="s">
        <v>1585</v>
      </c>
      <c r="D351" s="11" t="s">
        <v>1586</v>
      </c>
      <c r="E351" s="12" t="s">
        <v>320</v>
      </c>
      <c r="F351" s="16" t="n">
        <v>1</v>
      </c>
      <c r="G351" s="12" t="s">
        <v>1587</v>
      </c>
      <c r="H351" s="12" t="s">
        <v>1588</v>
      </c>
      <c r="I351" s="12" t="s">
        <v>1589</v>
      </c>
      <c r="J351" s="12" t="s">
        <v>1590</v>
      </c>
      <c r="K351" s="17" t="s">
        <v>298</v>
      </c>
    </row>
    <row r="352" customFormat="false" ht="57.45" hidden="false" customHeight="false" outlineLevel="0" collapsed="false">
      <c r="A352" s="12" t="n">
        <v>351</v>
      </c>
      <c r="B352" s="12" t="s">
        <v>132</v>
      </c>
      <c r="C352" s="12" t="s">
        <v>1585</v>
      </c>
      <c r="D352" s="11" t="s">
        <v>1591</v>
      </c>
      <c r="E352" s="12" t="s">
        <v>320</v>
      </c>
      <c r="F352" s="16" t="n">
        <v>1</v>
      </c>
      <c r="G352" s="12" t="s">
        <v>1592</v>
      </c>
      <c r="H352" s="12" t="s">
        <v>1593</v>
      </c>
      <c r="I352" s="12" t="s">
        <v>1594</v>
      </c>
      <c r="J352" s="12" t="s">
        <v>1595</v>
      </c>
      <c r="K352" s="17" t="s">
        <v>298</v>
      </c>
    </row>
    <row r="353" customFormat="false" ht="35.05" hidden="false" customHeight="false" outlineLevel="0" collapsed="false">
      <c r="A353" s="12" t="n">
        <v>352</v>
      </c>
      <c r="B353" s="12" t="s">
        <v>132</v>
      </c>
      <c r="C353" s="12" t="s">
        <v>1585</v>
      </c>
      <c r="D353" s="11" t="s">
        <v>1596</v>
      </c>
      <c r="E353" s="12" t="s">
        <v>320</v>
      </c>
      <c r="F353" s="16" t="n">
        <v>1</v>
      </c>
      <c r="G353" s="12" t="s">
        <v>1597</v>
      </c>
      <c r="H353" s="12" t="s">
        <v>1598</v>
      </c>
      <c r="I353" s="12" t="s">
        <v>1599</v>
      </c>
      <c r="J353" s="12" t="s">
        <v>1600</v>
      </c>
      <c r="K353" s="17" t="s">
        <v>298</v>
      </c>
    </row>
    <row r="354" customFormat="false" ht="23.85" hidden="false" customHeight="false" outlineLevel="0" collapsed="false">
      <c r="A354" s="12" t="n">
        <v>353</v>
      </c>
      <c r="B354" s="12" t="s">
        <v>132</v>
      </c>
      <c r="C354" s="12" t="s">
        <v>1601</v>
      </c>
      <c r="D354" s="11" t="s">
        <v>1602</v>
      </c>
      <c r="E354" s="12" t="s">
        <v>1603</v>
      </c>
      <c r="F354" s="16" t="n">
        <v>1</v>
      </c>
      <c r="G354" s="12" t="s">
        <v>1604</v>
      </c>
      <c r="H354" s="12" t="s">
        <v>1605</v>
      </c>
      <c r="I354" s="12" t="s">
        <v>1606</v>
      </c>
      <c r="J354" s="12" t="s">
        <v>1607</v>
      </c>
      <c r="K354" s="17" t="s">
        <v>298</v>
      </c>
    </row>
    <row r="355" customFormat="false" ht="35.05" hidden="false" customHeight="false" outlineLevel="0" collapsed="false">
      <c r="A355" s="12" t="n">
        <v>354</v>
      </c>
      <c r="B355" s="12" t="s">
        <v>132</v>
      </c>
      <c r="C355" s="12" t="s">
        <v>1601</v>
      </c>
      <c r="D355" s="11" t="s">
        <v>1608</v>
      </c>
      <c r="E355" s="12" t="s">
        <v>293</v>
      </c>
      <c r="F355" s="16" t="n">
        <v>1</v>
      </c>
      <c r="G355" s="12" t="s">
        <v>1609</v>
      </c>
      <c r="H355" s="12" t="s">
        <v>1610</v>
      </c>
      <c r="I355" s="12" t="s">
        <v>1611</v>
      </c>
      <c r="J355" s="12" t="s">
        <v>1612</v>
      </c>
      <c r="K355" s="17" t="s">
        <v>298</v>
      </c>
    </row>
    <row r="356" customFormat="false" ht="35.05" hidden="false" customHeight="false" outlineLevel="0" collapsed="false">
      <c r="A356" s="12" t="n">
        <v>355</v>
      </c>
      <c r="B356" s="12" t="s">
        <v>132</v>
      </c>
      <c r="C356" s="12" t="s">
        <v>1613</v>
      </c>
      <c r="D356" s="11" t="s">
        <v>1614</v>
      </c>
      <c r="E356" s="12" t="s">
        <v>362</v>
      </c>
      <c r="F356" s="16" t="n">
        <v>1</v>
      </c>
      <c r="G356" s="12" t="s">
        <v>1615</v>
      </c>
      <c r="H356" s="12" t="s">
        <v>1616</v>
      </c>
      <c r="I356" s="12" t="s">
        <v>1617</v>
      </c>
      <c r="J356" s="12" t="s">
        <v>1618</v>
      </c>
      <c r="K356" s="17" t="s">
        <v>298</v>
      </c>
    </row>
    <row r="357" customFormat="false" ht="35.05" hidden="false" customHeight="false" outlineLevel="0" collapsed="false">
      <c r="A357" s="12" t="n">
        <v>356</v>
      </c>
      <c r="B357" s="12" t="s">
        <v>132</v>
      </c>
      <c r="C357" s="12" t="s">
        <v>1579</v>
      </c>
      <c r="D357" s="11" t="s">
        <v>1619</v>
      </c>
      <c r="E357" s="12" t="s">
        <v>327</v>
      </c>
      <c r="F357" s="16" t="n">
        <v>1</v>
      </c>
      <c r="G357" s="12" t="s">
        <v>1620</v>
      </c>
      <c r="H357" s="12" t="s">
        <v>1621</v>
      </c>
      <c r="I357" s="12" t="s">
        <v>1622</v>
      </c>
      <c r="J357" s="12" t="s">
        <v>1623</v>
      </c>
      <c r="K357" s="17" t="s">
        <v>298</v>
      </c>
    </row>
    <row r="358" customFormat="false" ht="35.05" hidden="false" customHeight="false" outlineLevel="0" collapsed="false">
      <c r="A358" s="12" t="n">
        <v>357</v>
      </c>
      <c r="B358" s="12" t="s">
        <v>132</v>
      </c>
      <c r="C358" s="12" t="s">
        <v>1624</v>
      </c>
      <c r="D358" s="11" t="s">
        <v>1625</v>
      </c>
      <c r="E358" s="12" t="s">
        <v>1478</v>
      </c>
      <c r="F358" s="16" t="n">
        <v>1</v>
      </c>
      <c r="G358" s="12" t="s">
        <v>1626</v>
      </c>
      <c r="H358" s="12" t="s">
        <v>1627</v>
      </c>
      <c r="I358" s="12" t="s">
        <v>1628</v>
      </c>
      <c r="J358" s="12" t="s">
        <v>1629</v>
      </c>
      <c r="K358" s="17" t="s">
        <v>298</v>
      </c>
    </row>
    <row r="359" customFormat="false" ht="35.05" hidden="false" customHeight="false" outlineLevel="0" collapsed="false">
      <c r="A359" s="12" t="n">
        <v>358</v>
      </c>
      <c r="B359" s="12" t="s">
        <v>132</v>
      </c>
      <c r="C359" s="12" t="s">
        <v>1624</v>
      </c>
      <c r="D359" s="11" t="s">
        <v>1630</v>
      </c>
      <c r="E359" s="12" t="s">
        <v>1478</v>
      </c>
      <c r="F359" s="16" t="n">
        <v>1</v>
      </c>
      <c r="G359" s="12" t="s">
        <v>1631</v>
      </c>
      <c r="H359" s="12" t="s">
        <v>1632</v>
      </c>
      <c r="I359" s="12" t="s">
        <v>1633</v>
      </c>
      <c r="J359" s="12" t="s">
        <v>1634</v>
      </c>
      <c r="K359" s="17" t="s">
        <v>298</v>
      </c>
    </row>
    <row r="360" customFormat="false" ht="35.05" hidden="false" customHeight="false" outlineLevel="0" collapsed="false">
      <c r="A360" s="12" t="n">
        <v>359</v>
      </c>
      <c r="B360" s="12" t="s">
        <v>132</v>
      </c>
      <c r="C360" s="12" t="s">
        <v>1635</v>
      </c>
      <c r="D360" s="11" t="s">
        <v>1636</v>
      </c>
      <c r="E360" s="12" t="s">
        <v>384</v>
      </c>
      <c r="F360" s="16" t="n">
        <v>1</v>
      </c>
      <c r="G360" s="12" t="s">
        <v>1637</v>
      </c>
      <c r="H360" s="12" t="s">
        <v>1638</v>
      </c>
      <c r="I360" s="12" t="s">
        <v>1639</v>
      </c>
      <c r="J360" s="12" t="s">
        <v>1640</v>
      </c>
      <c r="K360" s="17" t="s">
        <v>298</v>
      </c>
    </row>
    <row r="361" customFormat="false" ht="35.05" hidden="false" customHeight="false" outlineLevel="0" collapsed="false">
      <c r="A361" s="12" t="n">
        <v>360</v>
      </c>
      <c r="B361" s="12" t="s">
        <v>132</v>
      </c>
      <c r="C361" s="12" t="s">
        <v>135</v>
      </c>
      <c r="D361" s="11" t="s">
        <v>1641</v>
      </c>
      <c r="E361" s="12" t="s">
        <v>313</v>
      </c>
      <c r="F361" s="16" t="n">
        <v>1</v>
      </c>
      <c r="G361" s="12" t="s">
        <v>1642</v>
      </c>
      <c r="H361" s="12" t="s">
        <v>1643</v>
      </c>
      <c r="I361" s="12" t="s">
        <v>1644</v>
      </c>
      <c r="J361" s="12" t="s">
        <v>1645</v>
      </c>
      <c r="K361" s="17" t="s">
        <v>298</v>
      </c>
    </row>
    <row r="362" customFormat="false" ht="46.25" hidden="false" customHeight="false" outlineLevel="0" collapsed="false">
      <c r="A362" s="12" t="n">
        <v>361</v>
      </c>
      <c r="B362" s="12" t="s">
        <v>132</v>
      </c>
      <c r="C362" s="12" t="s">
        <v>1585</v>
      </c>
      <c r="D362" s="11" t="s">
        <v>865</v>
      </c>
      <c r="E362" s="12" t="s">
        <v>355</v>
      </c>
      <c r="F362" s="16" t="n">
        <v>2</v>
      </c>
      <c r="G362" s="12" t="s">
        <v>1646</v>
      </c>
      <c r="H362" s="12" t="s">
        <v>1647</v>
      </c>
      <c r="I362" s="12" t="s">
        <v>1648</v>
      </c>
      <c r="J362" s="12" t="s">
        <v>1649</v>
      </c>
      <c r="K362" s="17" t="s">
        <v>298</v>
      </c>
    </row>
    <row r="363" customFormat="false" ht="23.85" hidden="false" customHeight="false" outlineLevel="0" collapsed="false">
      <c r="A363" s="12" t="n">
        <v>362</v>
      </c>
      <c r="B363" s="12" t="s">
        <v>132</v>
      </c>
      <c r="C363" s="12" t="s">
        <v>1601</v>
      </c>
      <c r="D363" s="11" t="s">
        <v>1650</v>
      </c>
      <c r="E363" s="12" t="s">
        <v>1603</v>
      </c>
      <c r="F363" s="16" t="n">
        <v>2</v>
      </c>
      <c r="G363" s="12" t="s">
        <v>1651</v>
      </c>
      <c r="H363" s="12" t="s">
        <v>1652</v>
      </c>
      <c r="I363" s="12" t="s">
        <v>1653</v>
      </c>
      <c r="J363" s="12" t="s">
        <v>1654</v>
      </c>
      <c r="K363" s="17" t="s">
        <v>298</v>
      </c>
    </row>
    <row r="364" customFormat="false" ht="23.85" hidden="false" customHeight="false" outlineLevel="0" collapsed="false">
      <c r="A364" s="12" t="n">
        <v>363</v>
      </c>
      <c r="B364" s="12" t="s">
        <v>132</v>
      </c>
      <c r="C364" s="12" t="s">
        <v>1601</v>
      </c>
      <c r="D364" s="11" t="s">
        <v>1655</v>
      </c>
      <c r="E364" s="12" t="s">
        <v>1603</v>
      </c>
      <c r="F364" s="16" t="n">
        <v>2</v>
      </c>
      <c r="G364" s="12" t="s">
        <v>1656</v>
      </c>
      <c r="H364" s="12" t="s">
        <v>1657</v>
      </c>
      <c r="I364" s="12" t="s">
        <v>1658</v>
      </c>
      <c r="J364" s="12" t="s">
        <v>1659</v>
      </c>
      <c r="K364" s="17" t="s">
        <v>298</v>
      </c>
    </row>
    <row r="365" customFormat="false" ht="35.05" hidden="false" customHeight="false" outlineLevel="0" collapsed="false">
      <c r="A365" s="12" t="n">
        <v>364</v>
      </c>
      <c r="B365" s="12" t="s">
        <v>132</v>
      </c>
      <c r="C365" s="12" t="s">
        <v>1601</v>
      </c>
      <c r="D365" s="11" t="s">
        <v>1660</v>
      </c>
      <c r="E365" s="12" t="s">
        <v>1603</v>
      </c>
      <c r="F365" s="16" t="n">
        <v>2</v>
      </c>
      <c r="G365" s="12" t="s">
        <v>1661</v>
      </c>
      <c r="H365" s="12" t="s">
        <v>1662</v>
      </c>
      <c r="I365" s="12" t="s">
        <v>1663</v>
      </c>
      <c r="J365" s="12" t="s">
        <v>1664</v>
      </c>
      <c r="K365" s="17" t="s">
        <v>298</v>
      </c>
    </row>
    <row r="366" customFormat="false" ht="35.05" hidden="false" customHeight="false" outlineLevel="0" collapsed="false">
      <c r="A366" s="12" t="n">
        <v>365</v>
      </c>
      <c r="B366" s="12" t="s">
        <v>132</v>
      </c>
      <c r="C366" s="12" t="s">
        <v>1613</v>
      </c>
      <c r="D366" s="11" t="s">
        <v>1665</v>
      </c>
      <c r="E366" s="12" t="s">
        <v>293</v>
      </c>
      <c r="F366" s="16" t="n">
        <v>2</v>
      </c>
      <c r="G366" s="12" t="s">
        <v>1666</v>
      </c>
      <c r="H366" s="12" t="s">
        <v>1667</v>
      </c>
      <c r="I366" s="12" t="s">
        <v>1668</v>
      </c>
      <c r="J366" s="12" t="s">
        <v>1669</v>
      </c>
      <c r="K366" s="17" t="s">
        <v>298</v>
      </c>
    </row>
    <row r="367" customFormat="false" ht="35.05" hidden="false" customHeight="false" outlineLevel="0" collapsed="false">
      <c r="A367" s="12" t="n">
        <v>366</v>
      </c>
      <c r="B367" s="12" t="s">
        <v>132</v>
      </c>
      <c r="C367" s="12" t="s">
        <v>1624</v>
      </c>
      <c r="D367" s="11" t="s">
        <v>1670</v>
      </c>
      <c r="E367" s="12" t="s">
        <v>1478</v>
      </c>
      <c r="F367" s="16" t="n">
        <v>2</v>
      </c>
      <c r="G367" s="12" t="s">
        <v>1671</v>
      </c>
      <c r="H367" s="12" t="s">
        <v>1672</v>
      </c>
      <c r="I367" s="12" t="s">
        <v>1673</v>
      </c>
      <c r="J367" s="12" t="s">
        <v>1674</v>
      </c>
      <c r="K367" s="17" t="s">
        <v>298</v>
      </c>
    </row>
    <row r="368" customFormat="false" ht="35.05" hidden="false" customHeight="false" outlineLevel="0" collapsed="false">
      <c r="A368" s="12" t="n">
        <v>367</v>
      </c>
      <c r="B368" s="12" t="s">
        <v>132</v>
      </c>
      <c r="C368" s="12" t="s">
        <v>1635</v>
      </c>
      <c r="D368" s="11" t="s">
        <v>1675</v>
      </c>
      <c r="E368" s="12" t="s">
        <v>384</v>
      </c>
      <c r="F368" s="16" t="n">
        <v>2</v>
      </c>
      <c r="G368" s="12" t="s">
        <v>1676</v>
      </c>
      <c r="H368" s="12" t="s">
        <v>1677</v>
      </c>
      <c r="I368" s="12" t="s">
        <v>1678</v>
      </c>
      <c r="J368" s="12" t="s">
        <v>1679</v>
      </c>
      <c r="K368" s="17" t="s">
        <v>298</v>
      </c>
    </row>
    <row r="369" customFormat="false" ht="23.85" hidden="false" customHeight="false" outlineLevel="0" collapsed="false">
      <c r="A369" s="12" t="n">
        <v>368</v>
      </c>
      <c r="B369" s="12" t="s">
        <v>132</v>
      </c>
      <c r="C369" s="12" t="s">
        <v>1635</v>
      </c>
      <c r="D369" s="11" t="s">
        <v>1680</v>
      </c>
      <c r="E369" s="12" t="s">
        <v>384</v>
      </c>
      <c r="F369" s="16" t="n">
        <v>2</v>
      </c>
      <c r="G369" s="12" t="s">
        <v>1681</v>
      </c>
      <c r="H369" s="12" t="s">
        <v>1682</v>
      </c>
      <c r="I369" s="12" t="s">
        <v>1683</v>
      </c>
      <c r="J369" s="12"/>
      <c r="K369" s="17" t="s">
        <v>298</v>
      </c>
    </row>
    <row r="370" customFormat="false" ht="15" hidden="false" customHeight="false" outlineLevel="0" collapsed="false">
      <c r="A370" s="12" t="n">
        <v>369</v>
      </c>
      <c r="B370" s="12" t="s">
        <v>132</v>
      </c>
      <c r="C370" s="12" t="s">
        <v>135</v>
      </c>
      <c r="D370" s="11" t="s">
        <v>882</v>
      </c>
      <c r="E370" s="12" t="s">
        <v>313</v>
      </c>
      <c r="F370" s="16" t="n">
        <v>3</v>
      </c>
      <c r="G370" s="12" t="s">
        <v>1684</v>
      </c>
      <c r="H370" s="12"/>
      <c r="I370" s="12"/>
      <c r="J370" s="12"/>
      <c r="K370" s="17" t="s">
        <v>298</v>
      </c>
    </row>
    <row r="371" customFormat="false" ht="23.85" hidden="false" customHeight="false" outlineLevel="0" collapsed="false">
      <c r="A371" s="12" t="n">
        <v>370</v>
      </c>
      <c r="B371" s="12" t="s">
        <v>132</v>
      </c>
      <c r="C371" s="12" t="s">
        <v>135</v>
      </c>
      <c r="D371" s="11" t="s">
        <v>409</v>
      </c>
      <c r="E371" s="12" t="s">
        <v>410</v>
      </c>
      <c r="F371" s="16" t="n">
        <v>3</v>
      </c>
      <c r="G371" s="12" t="s">
        <v>1685</v>
      </c>
      <c r="H371" s="12"/>
      <c r="I371" s="12" t="s">
        <v>1686</v>
      </c>
      <c r="J371" s="12"/>
      <c r="K371" s="17" t="s">
        <v>298</v>
      </c>
    </row>
    <row r="372" customFormat="false" ht="35.05" hidden="false" customHeight="false" outlineLevel="0" collapsed="false">
      <c r="A372" s="12" t="n">
        <v>371</v>
      </c>
      <c r="B372" s="12" t="s">
        <v>132</v>
      </c>
      <c r="C372" s="12" t="s">
        <v>135</v>
      </c>
      <c r="D372" s="11" t="s">
        <v>412</v>
      </c>
      <c r="E372" s="12" t="s">
        <v>410</v>
      </c>
      <c r="F372" s="16" t="n">
        <v>3</v>
      </c>
      <c r="G372" s="12" t="s">
        <v>1687</v>
      </c>
      <c r="H372" s="12"/>
      <c r="I372" s="12" t="s">
        <v>1688</v>
      </c>
      <c r="J372" s="12"/>
      <c r="K372" s="17" t="s">
        <v>298</v>
      </c>
    </row>
    <row r="373" customFormat="false" ht="23.85" hidden="false" customHeight="false" outlineLevel="0" collapsed="false">
      <c r="A373" s="12" t="n">
        <v>372</v>
      </c>
      <c r="B373" s="12" t="s">
        <v>132</v>
      </c>
      <c r="C373" s="12" t="s">
        <v>135</v>
      </c>
      <c r="D373" s="11" t="s">
        <v>1477</v>
      </c>
      <c r="E373" s="12" t="s">
        <v>313</v>
      </c>
      <c r="F373" s="16" t="n">
        <v>3</v>
      </c>
      <c r="G373" s="12" t="s">
        <v>1689</v>
      </c>
      <c r="H373" s="12" t="s">
        <v>1690</v>
      </c>
      <c r="I373" s="12" t="s">
        <v>1691</v>
      </c>
      <c r="J373" s="12" t="s">
        <v>1692</v>
      </c>
      <c r="K373" s="17" t="s">
        <v>298</v>
      </c>
    </row>
    <row r="374" customFormat="false" ht="23.85" hidden="false" customHeight="false" outlineLevel="0" collapsed="false">
      <c r="A374" s="12" t="n">
        <v>373</v>
      </c>
      <c r="B374" s="12" t="s">
        <v>132</v>
      </c>
      <c r="C374" s="12" t="s">
        <v>135</v>
      </c>
      <c r="D374" s="11" t="s">
        <v>841</v>
      </c>
      <c r="E374" s="12" t="s">
        <v>313</v>
      </c>
      <c r="F374" s="16" t="n">
        <v>3</v>
      </c>
      <c r="G374" s="12" t="s">
        <v>1693</v>
      </c>
      <c r="H374" s="12" t="s">
        <v>1694</v>
      </c>
      <c r="I374" s="12" t="s">
        <v>1695</v>
      </c>
      <c r="J374" s="12"/>
      <c r="K374" s="17" t="s">
        <v>298</v>
      </c>
    </row>
    <row r="375" customFormat="false" ht="15" hidden="false" customHeight="false" outlineLevel="0" collapsed="false">
      <c r="A375" s="12" t="n">
        <v>374</v>
      </c>
      <c r="B375" s="12" t="s">
        <v>132</v>
      </c>
      <c r="C375" s="12" t="s">
        <v>1696</v>
      </c>
      <c r="D375" s="11" t="s">
        <v>1697</v>
      </c>
      <c r="E375" s="12" t="s">
        <v>780</v>
      </c>
      <c r="F375" s="16" t="n">
        <v>3</v>
      </c>
      <c r="G375" s="12" t="s">
        <v>1698</v>
      </c>
      <c r="H375" s="12"/>
      <c r="I375" s="12" t="s">
        <v>1699</v>
      </c>
      <c r="J375" s="12"/>
      <c r="K375" s="17" t="s">
        <v>298</v>
      </c>
    </row>
    <row r="376" customFormat="false" ht="23.85" hidden="false" customHeight="false" outlineLevel="0" collapsed="false">
      <c r="A376" s="12" t="n">
        <v>375</v>
      </c>
      <c r="B376" s="12" t="s">
        <v>132</v>
      </c>
      <c r="C376" s="12" t="s">
        <v>1601</v>
      </c>
      <c r="D376" s="11" t="s">
        <v>1700</v>
      </c>
      <c r="E376" s="12" t="s">
        <v>1603</v>
      </c>
      <c r="F376" s="16" t="n">
        <v>3</v>
      </c>
      <c r="G376" s="12" t="s">
        <v>1701</v>
      </c>
      <c r="H376" s="12" t="s">
        <v>1702</v>
      </c>
      <c r="I376" s="12" t="s">
        <v>1703</v>
      </c>
      <c r="J376" s="12" t="s">
        <v>1704</v>
      </c>
      <c r="K376" s="17" t="s">
        <v>298</v>
      </c>
    </row>
    <row r="377" customFormat="false" ht="23.85" hidden="false" customHeight="false" outlineLevel="0" collapsed="false">
      <c r="A377" s="12" t="n">
        <v>376</v>
      </c>
      <c r="B377" s="12" t="s">
        <v>132</v>
      </c>
      <c r="C377" s="12" t="s">
        <v>1601</v>
      </c>
      <c r="D377" s="11" t="s">
        <v>1705</v>
      </c>
      <c r="E377" s="12" t="s">
        <v>1603</v>
      </c>
      <c r="F377" s="16" t="n">
        <v>3</v>
      </c>
      <c r="G377" s="12" t="s">
        <v>1706</v>
      </c>
      <c r="H377" s="12" t="s">
        <v>1707</v>
      </c>
      <c r="I377" s="12" t="s">
        <v>1708</v>
      </c>
      <c r="J377" s="12"/>
      <c r="K377" s="17" t="s">
        <v>298</v>
      </c>
    </row>
    <row r="378" customFormat="false" ht="23.85" hidden="false" customHeight="false" outlineLevel="0" collapsed="false">
      <c r="A378" s="12" t="n">
        <v>377</v>
      </c>
      <c r="B378" s="12" t="s">
        <v>132</v>
      </c>
      <c r="C378" s="12" t="s">
        <v>1601</v>
      </c>
      <c r="D378" s="11" t="s">
        <v>1709</v>
      </c>
      <c r="E378" s="12" t="s">
        <v>1603</v>
      </c>
      <c r="F378" s="16" t="n">
        <v>3</v>
      </c>
      <c r="G378" s="12" t="s">
        <v>1710</v>
      </c>
      <c r="H378" s="12" t="s">
        <v>1711</v>
      </c>
      <c r="I378" s="12" t="s">
        <v>1712</v>
      </c>
      <c r="J378" s="12" t="s">
        <v>1713</v>
      </c>
      <c r="K378" s="17" t="s">
        <v>298</v>
      </c>
    </row>
    <row r="379" customFormat="false" ht="23.85" hidden="false" customHeight="false" outlineLevel="0" collapsed="false">
      <c r="A379" s="12" t="n">
        <v>378</v>
      </c>
      <c r="B379" s="12" t="s">
        <v>132</v>
      </c>
      <c r="C379" s="12" t="s">
        <v>1601</v>
      </c>
      <c r="D379" s="11" t="s">
        <v>1714</v>
      </c>
      <c r="E379" s="12" t="s">
        <v>1603</v>
      </c>
      <c r="F379" s="16" t="n">
        <v>3</v>
      </c>
      <c r="G379" s="12" t="s">
        <v>1715</v>
      </c>
      <c r="H379" s="12" t="s">
        <v>1716</v>
      </c>
      <c r="I379" s="12" t="s">
        <v>1717</v>
      </c>
      <c r="J379" s="12"/>
      <c r="K379" s="17" t="s">
        <v>298</v>
      </c>
    </row>
    <row r="380" customFormat="false" ht="35.05" hidden="false" customHeight="false" outlineLevel="0" collapsed="false">
      <c r="A380" s="12" t="n">
        <v>379</v>
      </c>
      <c r="B380" s="12" t="s">
        <v>132</v>
      </c>
      <c r="C380" s="12" t="s">
        <v>1718</v>
      </c>
      <c r="D380" s="11" t="s">
        <v>1719</v>
      </c>
      <c r="E380" s="12" t="s">
        <v>1491</v>
      </c>
      <c r="F380" s="16" t="n">
        <v>3</v>
      </c>
      <c r="G380" s="12" t="s">
        <v>1720</v>
      </c>
      <c r="H380" s="12" t="s">
        <v>1721</v>
      </c>
      <c r="I380" s="12" t="s">
        <v>1722</v>
      </c>
      <c r="J380" s="12"/>
      <c r="K380" s="17" t="s">
        <v>298</v>
      </c>
    </row>
    <row r="381" customFormat="false" ht="23.85" hidden="false" customHeight="false" outlineLevel="0" collapsed="false">
      <c r="A381" s="12" t="n">
        <v>380</v>
      </c>
      <c r="B381" s="12" t="s">
        <v>132</v>
      </c>
      <c r="C381" s="12" t="s">
        <v>1723</v>
      </c>
      <c r="D381" s="11" t="s">
        <v>1724</v>
      </c>
      <c r="E381" s="12" t="s">
        <v>434</v>
      </c>
      <c r="F381" s="16" t="n">
        <v>3</v>
      </c>
      <c r="G381" s="12" t="s">
        <v>1725</v>
      </c>
      <c r="H381" s="12"/>
      <c r="I381" s="12" t="s">
        <v>1726</v>
      </c>
      <c r="J381" s="12"/>
      <c r="K381" s="17" t="s">
        <v>298</v>
      </c>
    </row>
    <row r="382" customFormat="false" ht="23.85" hidden="false" customHeight="false" outlineLevel="0" collapsed="false">
      <c r="A382" s="12" t="n">
        <v>381</v>
      </c>
      <c r="B382" s="12" t="s">
        <v>132</v>
      </c>
      <c r="C382" s="12" t="s">
        <v>1723</v>
      </c>
      <c r="D382" s="11" t="s">
        <v>1727</v>
      </c>
      <c r="E382" s="12" t="s">
        <v>434</v>
      </c>
      <c r="F382" s="16" t="n">
        <v>3</v>
      </c>
      <c r="G382" s="12" t="s">
        <v>1728</v>
      </c>
      <c r="H382" s="12"/>
      <c r="I382" s="12" t="s">
        <v>1729</v>
      </c>
      <c r="J382" s="12"/>
      <c r="K382" s="17" t="s">
        <v>298</v>
      </c>
    </row>
    <row r="383" customFormat="false" ht="23.85" hidden="false" customHeight="false" outlineLevel="0" collapsed="false">
      <c r="A383" s="12" t="n">
        <v>382</v>
      </c>
      <c r="B383" s="12" t="s">
        <v>132</v>
      </c>
      <c r="C383" s="12" t="s">
        <v>1635</v>
      </c>
      <c r="D383" s="11" t="s">
        <v>1730</v>
      </c>
      <c r="E383" s="12" t="s">
        <v>384</v>
      </c>
      <c r="F383" s="16" t="n">
        <v>3</v>
      </c>
      <c r="G383" s="12" t="s">
        <v>1731</v>
      </c>
      <c r="H383" s="12" t="s">
        <v>1732</v>
      </c>
      <c r="I383" s="12" t="s">
        <v>1733</v>
      </c>
      <c r="J383" s="12"/>
      <c r="K383" s="17" t="s">
        <v>298</v>
      </c>
    </row>
    <row r="384" customFormat="false" ht="23.85" hidden="false" customHeight="false" outlineLevel="0" collapsed="false">
      <c r="A384" s="12" t="n">
        <v>383</v>
      </c>
      <c r="B384" s="12" t="s">
        <v>132</v>
      </c>
      <c r="C384" s="12" t="s">
        <v>135</v>
      </c>
      <c r="D384" s="11" t="s">
        <v>907</v>
      </c>
      <c r="E384" s="12" t="s">
        <v>313</v>
      </c>
      <c r="F384" s="16" t="n">
        <v>3</v>
      </c>
      <c r="G384" s="12" t="s">
        <v>1734</v>
      </c>
      <c r="H384" s="12" t="s">
        <v>1735</v>
      </c>
      <c r="I384" s="12" t="s">
        <v>1736</v>
      </c>
      <c r="J384" s="12" t="s">
        <v>1737</v>
      </c>
      <c r="K384" s="17" t="s">
        <v>298</v>
      </c>
    </row>
    <row r="385" customFormat="false" ht="35.05" hidden="false" customHeight="false" outlineLevel="0" collapsed="false">
      <c r="A385" s="12" t="n">
        <v>384</v>
      </c>
      <c r="B385" s="12" t="s">
        <v>139</v>
      </c>
      <c r="C385" s="12" t="s">
        <v>1738</v>
      </c>
      <c r="D385" s="11" t="s">
        <v>1739</v>
      </c>
      <c r="E385" s="12" t="s">
        <v>320</v>
      </c>
      <c r="F385" s="16" t="n">
        <v>1</v>
      </c>
      <c r="G385" s="12" t="s">
        <v>1740</v>
      </c>
      <c r="H385" s="12" t="s">
        <v>1741</v>
      </c>
      <c r="I385" s="12" t="s">
        <v>1742</v>
      </c>
      <c r="J385" s="12" t="s">
        <v>1743</v>
      </c>
      <c r="K385" s="17" t="s">
        <v>298</v>
      </c>
    </row>
    <row r="386" customFormat="false" ht="23.85" hidden="false" customHeight="false" outlineLevel="0" collapsed="false">
      <c r="A386" s="12" t="n">
        <v>385</v>
      </c>
      <c r="B386" s="12" t="s">
        <v>139</v>
      </c>
      <c r="C386" s="12" t="s">
        <v>1744</v>
      </c>
      <c r="D386" s="11" t="s">
        <v>1745</v>
      </c>
      <c r="E386" s="12" t="s">
        <v>293</v>
      </c>
      <c r="F386" s="16" t="n">
        <v>1</v>
      </c>
      <c r="G386" s="12" t="s">
        <v>1746</v>
      </c>
      <c r="H386" s="12" t="s">
        <v>1747</v>
      </c>
      <c r="I386" s="12" t="s">
        <v>1748</v>
      </c>
      <c r="J386" s="12" t="s">
        <v>1749</v>
      </c>
      <c r="K386" s="17" t="s">
        <v>298</v>
      </c>
    </row>
    <row r="387" customFormat="false" ht="46.25" hidden="false" customHeight="false" outlineLevel="0" collapsed="false">
      <c r="A387" s="12" t="n">
        <v>386</v>
      </c>
      <c r="B387" s="12" t="s">
        <v>139</v>
      </c>
      <c r="C387" s="12" t="s">
        <v>1750</v>
      </c>
      <c r="D387" s="11" t="s">
        <v>1751</v>
      </c>
      <c r="E387" s="12" t="s">
        <v>327</v>
      </c>
      <c r="F387" s="16" t="n">
        <v>1</v>
      </c>
      <c r="G387" s="12" t="s">
        <v>1752</v>
      </c>
      <c r="H387" s="12" t="s">
        <v>1753</v>
      </c>
      <c r="I387" s="12" t="s">
        <v>1754</v>
      </c>
      <c r="J387" s="12" t="s">
        <v>1755</v>
      </c>
      <c r="K387" s="17" t="s">
        <v>298</v>
      </c>
    </row>
    <row r="388" customFormat="false" ht="35.05" hidden="false" customHeight="false" outlineLevel="0" collapsed="false">
      <c r="A388" s="12" t="n">
        <v>387</v>
      </c>
      <c r="B388" s="12" t="s">
        <v>139</v>
      </c>
      <c r="C388" s="12" t="s">
        <v>1756</v>
      </c>
      <c r="D388" s="11" t="s">
        <v>1757</v>
      </c>
      <c r="E388" s="12" t="s">
        <v>1478</v>
      </c>
      <c r="F388" s="16" t="n">
        <v>1</v>
      </c>
      <c r="G388" s="12" t="s">
        <v>1758</v>
      </c>
      <c r="H388" s="12" t="s">
        <v>1759</v>
      </c>
      <c r="I388" s="12" t="s">
        <v>1760</v>
      </c>
      <c r="J388" s="12" t="s">
        <v>1761</v>
      </c>
      <c r="K388" s="17" t="s">
        <v>298</v>
      </c>
    </row>
    <row r="389" customFormat="false" ht="46.25" hidden="false" customHeight="false" outlineLevel="0" collapsed="false">
      <c r="A389" s="12" t="n">
        <v>388</v>
      </c>
      <c r="B389" s="12" t="s">
        <v>139</v>
      </c>
      <c r="C389" s="12" t="s">
        <v>1756</v>
      </c>
      <c r="D389" s="11" t="s">
        <v>1762</v>
      </c>
      <c r="E389" s="12" t="s">
        <v>1478</v>
      </c>
      <c r="F389" s="16" t="n">
        <v>1</v>
      </c>
      <c r="G389" s="12" t="s">
        <v>1763</v>
      </c>
      <c r="H389" s="12" t="s">
        <v>1764</v>
      </c>
      <c r="I389" s="12" t="s">
        <v>1765</v>
      </c>
      <c r="J389" s="12" t="s">
        <v>1766</v>
      </c>
      <c r="K389" s="17" t="s">
        <v>298</v>
      </c>
    </row>
    <row r="390" customFormat="false" ht="35.05" hidden="false" customHeight="false" outlineLevel="0" collapsed="false">
      <c r="A390" s="12" t="n">
        <v>389</v>
      </c>
      <c r="B390" s="12" t="s">
        <v>139</v>
      </c>
      <c r="C390" s="12" t="s">
        <v>1767</v>
      </c>
      <c r="D390" s="11" t="s">
        <v>1768</v>
      </c>
      <c r="E390" s="12" t="s">
        <v>362</v>
      </c>
      <c r="F390" s="16" t="n">
        <v>1</v>
      </c>
      <c r="G390" s="12" t="s">
        <v>1769</v>
      </c>
      <c r="H390" s="12" t="s">
        <v>1770</v>
      </c>
      <c r="I390" s="12" t="s">
        <v>1771</v>
      </c>
      <c r="J390" s="12" t="s">
        <v>1772</v>
      </c>
      <c r="K390" s="17" t="s">
        <v>298</v>
      </c>
    </row>
    <row r="391" customFormat="false" ht="23.85" hidden="false" customHeight="false" outlineLevel="0" collapsed="false">
      <c r="A391" s="12" t="n">
        <v>390</v>
      </c>
      <c r="B391" s="12" t="s">
        <v>139</v>
      </c>
      <c r="C391" s="12" t="s">
        <v>1773</v>
      </c>
      <c r="D391" s="11" t="s">
        <v>1774</v>
      </c>
      <c r="E391" s="12" t="s">
        <v>313</v>
      </c>
      <c r="F391" s="16" t="n">
        <v>2</v>
      </c>
      <c r="G391" s="12" t="s">
        <v>1775</v>
      </c>
      <c r="H391" s="12" t="s">
        <v>1776</v>
      </c>
      <c r="I391" s="12" t="s">
        <v>1777</v>
      </c>
      <c r="J391" s="12" t="s">
        <v>1778</v>
      </c>
      <c r="K391" s="17" t="s">
        <v>298</v>
      </c>
    </row>
    <row r="392" customFormat="false" ht="23.85" hidden="false" customHeight="false" outlineLevel="0" collapsed="false">
      <c r="A392" s="12" t="n">
        <v>391</v>
      </c>
      <c r="B392" s="12" t="s">
        <v>139</v>
      </c>
      <c r="C392" s="12" t="s">
        <v>1779</v>
      </c>
      <c r="D392" s="11" t="s">
        <v>1780</v>
      </c>
      <c r="E392" s="12" t="s">
        <v>362</v>
      </c>
      <c r="F392" s="16" t="n">
        <v>2</v>
      </c>
      <c r="G392" s="12" t="s">
        <v>1781</v>
      </c>
      <c r="H392" s="12" t="s">
        <v>1782</v>
      </c>
      <c r="I392" s="12" t="s">
        <v>1783</v>
      </c>
      <c r="J392" s="12" t="s">
        <v>1784</v>
      </c>
      <c r="K392" s="17" t="s">
        <v>298</v>
      </c>
    </row>
    <row r="393" customFormat="false" ht="35.05" hidden="false" customHeight="false" outlineLevel="0" collapsed="false">
      <c r="A393" s="12" t="n">
        <v>392</v>
      </c>
      <c r="B393" s="12" t="s">
        <v>139</v>
      </c>
      <c r="C393" s="12" t="s">
        <v>1738</v>
      </c>
      <c r="D393" s="11" t="s">
        <v>1785</v>
      </c>
      <c r="E393" s="12" t="s">
        <v>355</v>
      </c>
      <c r="F393" s="16" t="n">
        <v>2</v>
      </c>
      <c r="G393" s="12" t="s">
        <v>1786</v>
      </c>
      <c r="H393" s="12" t="s">
        <v>1787</v>
      </c>
      <c r="I393" s="12" t="s">
        <v>1788</v>
      </c>
      <c r="J393" s="12" t="s">
        <v>1789</v>
      </c>
      <c r="K393" s="17" t="s">
        <v>298</v>
      </c>
    </row>
    <row r="394" customFormat="false" ht="23.85" hidden="false" customHeight="false" outlineLevel="0" collapsed="false">
      <c r="A394" s="12" t="n">
        <v>393</v>
      </c>
      <c r="B394" s="12" t="s">
        <v>139</v>
      </c>
      <c r="C394" s="12" t="s">
        <v>1738</v>
      </c>
      <c r="D394" s="11" t="s">
        <v>1790</v>
      </c>
      <c r="E394" s="12" t="s">
        <v>320</v>
      </c>
      <c r="F394" s="16" t="n">
        <v>2</v>
      </c>
      <c r="G394" s="12" t="s">
        <v>1791</v>
      </c>
      <c r="H394" s="12" t="s">
        <v>1792</v>
      </c>
      <c r="I394" s="12" t="s">
        <v>1793</v>
      </c>
      <c r="J394" s="12"/>
      <c r="K394" s="17" t="s">
        <v>298</v>
      </c>
    </row>
    <row r="395" customFormat="false" ht="23.85" hidden="false" customHeight="false" outlineLevel="0" collapsed="false">
      <c r="A395" s="12" t="n">
        <v>394</v>
      </c>
      <c r="B395" s="12" t="s">
        <v>139</v>
      </c>
      <c r="C395" s="12" t="s">
        <v>1750</v>
      </c>
      <c r="D395" s="11" t="s">
        <v>1794</v>
      </c>
      <c r="E395" s="12" t="s">
        <v>313</v>
      </c>
      <c r="F395" s="16" t="n">
        <v>2</v>
      </c>
      <c r="G395" s="12" t="s">
        <v>1795</v>
      </c>
      <c r="H395" s="12" t="s">
        <v>1796</v>
      </c>
      <c r="I395" s="12" t="s">
        <v>1797</v>
      </c>
      <c r="J395" s="12"/>
      <c r="K395" s="17" t="s">
        <v>298</v>
      </c>
    </row>
    <row r="396" customFormat="false" ht="23.85" hidden="false" customHeight="false" outlineLevel="0" collapsed="false">
      <c r="A396" s="12" t="n">
        <v>395</v>
      </c>
      <c r="B396" s="12" t="s">
        <v>139</v>
      </c>
      <c r="C396" s="12" t="s">
        <v>1756</v>
      </c>
      <c r="D396" s="11" t="s">
        <v>1798</v>
      </c>
      <c r="E396" s="12" t="s">
        <v>1478</v>
      </c>
      <c r="F396" s="16" t="n">
        <v>2</v>
      </c>
      <c r="G396" s="12" t="s">
        <v>1799</v>
      </c>
      <c r="H396" s="12" t="s">
        <v>1800</v>
      </c>
      <c r="I396" s="12" t="s">
        <v>1801</v>
      </c>
      <c r="J396" s="12"/>
      <c r="K396" s="17" t="s">
        <v>298</v>
      </c>
    </row>
    <row r="397" customFormat="false" ht="23.85" hidden="false" customHeight="false" outlineLevel="0" collapsed="false">
      <c r="A397" s="12" t="n">
        <v>396</v>
      </c>
      <c r="B397" s="12" t="s">
        <v>139</v>
      </c>
      <c r="C397" s="12" t="s">
        <v>1756</v>
      </c>
      <c r="D397" s="11" t="s">
        <v>1802</v>
      </c>
      <c r="E397" s="12" t="s">
        <v>1478</v>
      </c>
      <c r="F397" s="16" t="n">
        <v>2</v>
      </c>
      <c r="G397" s="12" t="s">
        <v>1803</v>
      </c>
      <c r="H397" s="12" t="s">
        <v>1804</v>
      </c>
      <c r="I397" s="12" t="s">
        <v>1805</v>
      </c>
      <c r="J397" s="12" t="s">
        <v>1806</v>
      </c>
      <c r="K397" s="17" t="s">
        <v>298</v>
      </c>
    </row>
    <row r="398" customFormat="false" ht="23.85" hidden="false" customHeight="false" outlineLevel="0" collapsed="false">
      <c r="A398" s="12" t="n">
        <v>397</v>
      </c>
      <c r="B398" s="12" t="s">
        <v>139</v>
      </c>
      <c r="C398" s="12" t="s">
        <v>1756</v>
      </c>
      <c r="D398" s="11" t="s">
        <v>1807</v>
      </c>
      <c r="E398" s="12" t="s">
        <v>1478</v>
      </c>
      <c r="F398" s="16" t="n">
        <v>2</v>
      </c>
      <c r="G398" s="12" t="s">
        <v>1808</v>
      </c>
      <c r="H398" s="12" t="s">
        <v>1809</v>
      </c>
      <c r="I398" s="12" t="s">
        <v>1810</v>
      </c>
      <c r="J398" s="12" t="s">
        <v>1811</v>
      </c>
      <c r="K398" s="17" t="s">
        <v>298</v>
      </c>
    </row>
    <row r="399" customFormat="false" ht="23.85" hidden="false" customHeight="false" outlineLevel="0" collapsed="false">
      <c r="A399" s="12" t="n">
        <v>398</v>
      </c>
      <c r="B399" s="12" t="s">
        <v>139</v>
      </c>
      <c r="C399" s="12" t="s">
        <v>1756</v>
      </c>
      <c r="D399" s="11" t="s">
        <v>1812</v>
      </c>
      <c r="E399" s="12" t="s">
        <v>1478</v>
      </c>
      <c r="F399" s="16" t="n">
        <v>2</v>
      </c>
      <c r="G399" s="12" t="s">
        <v>1813</v>
      </c>
      <c r="H399" s="12" t="s">
        <v>1814</v>
      </c>
      <c r="I399" s="12" t="s">
        <v>1815</v>
      </c>
      <c r="J399" s="12" t="s">
        <v>1816</v>
      </c>
      <c r="K399" s="17" t="s">
        <v>298</v>
      </c>
    </row>
    <row r="400" customFormat="false" ht="35.05" hidden="false" customHeight="false" outlineLevel="0" collapsed="false">
      <c r="A400" s="12" t="n">
        <v>399</v>
      </c>
      <c r="B400" s="12" t="s">
        <v>139</v>
      </c>
      <c r="C400" s="12" t="s">
        <v>1767</v>
      </c>
      <c r="D400" s="11" t="s">
        <v>1817</v>
      </c>
      <c r="E400" s="12" t="s">
        <v>293</v>
      </c>
      <c r="F400" s="16" t="n">
        <v>2</v>
      </c>
      <c r="G400" s="12" t="s">
        <v>1818</v>
      </c>
      <c r="H400" s="12" t="s">
        <v>1819</v>
      </c>
      <c r="I400" s="12" t="s">
        <v>1820</v>
      </c>
      <c r="J400" s="12" t="s">
        <v>1821</v>
      </c>
      <c r="K400" s="17" t="s">
        <v>298</v>
      </c>
    </row>
    <row r="401" customFormat="false" ht="23.85" hidden="false" customHeight="false" outlineLevel="0" collapsed="false">
      <c r="A401" s="12" t="n">
        <v>400</v>
      </c>
      <c r="B401" s="12" t="s">
        <v>139</v>
      </c>
      <c r="C401" s="12" t="s">
        <v>1822</v>
      </c>
      <c r="D401" s="11" t="s">
        <v>1823</v>
      </c>
      <c r="E401" s="12" t="s">
        <v>293</v>
      </c>
      <c r="F401" s="16" t="n">
        <v>2</v>
      </c>
      <c r="G401" s="12" t="s">
        <v>1824</v>
      </c>
      <c r="H401" s="12" t="s">
        <v>1825</v>
      </c>
      <c r="I401" s="12" t="s">
        <v>1826</v>
      </c>
      <c r="J401" s="12" t="s">
        <v>1827</v>
      </c>
      <c r="K401" s="17" t="s">
        <v>298</v>
      </c>
    </row>
    <row r="402" customFormat="false" ht="23.85" hidden="false" customHeight="false" outlineLevel="0" collapsed="false">
      <c r="A402" s="12" t="n">
        <v>401</v>
      </c>
      <c r="B402" s="12" t="s">
        <v>139</v>
      </c>
      <c r="C402" s="12" t="s">
        <v>1828</v>
      </c>
      <c r="D402" s="11" t="s">
        <v>1829</v>
      </c>
      <c r="E402" s="12" t="s">
        <v>384</v>
      </c>
      <c r="F402" s="16" t="n">
        <v>2</v>
      </c>
      <c r="G402" s="12" t="s">
        <v>1830</v>
      </c>
      <c r="H402" s="12" t="s">
        <v>1831</v>
      </c>
      <c r="I402" s="12" t="s">
        <v>1832</v>
      </c>
      <c r="J402" s="12" t="s">
        <v>1833</v>
      </c>
      <c r="K402" s="17" t="s">
        <v>298</v>
      </c>
    </row>
    <row r="403" customFormat="false" ht="35.05" hidden="false" customHeight="false" outlineLevel="0" collapsed="false">
      <c r="A403" s="12" t="n">
        <v>402</v>
      </c>
      <c r="B403" s="12" t="s">
        <v>139</v>
      </c>
      <c r="C403" s="12" t="s">
        <v>1828</v>
      </c>
      <c r="D403" s="11" t="s">
        <v>1834</v>
      </c>
      <c r="E403" s="12" t="s">
        <v>384</v>
      </c>
      <c r="F403" s="16" t="n">
        <v>2</v>
      </c>
      <c r="G403" s="12" t="s">
        <v>1835</v>
      </c>
      <c r="H403" s="12" t="s">
        <v>1836</v>
      </c>
      <c r="I403" s="12" t="s">
        <v>1837</v>
      </c>
      <c r="J403" s="12"/>
      <c r="K403" s="17" t="s">
        <v>298</v>
      </c>
    </row>
    <row r="404" customFormat="false" ht="35.05" hidden="false" customHeight="false" outlineLevel="0" collapsed="false">
      <c r="A404" s="12" t="n">
        <v>403</v>
      </c>
      <c r="B404" s="12" t="s">
        <v>139</v>
      </c>
      <c r="C404" s="12" t="s">
        <v>1828</v>
      </c>
      <c r="D404" s="11" t="s">
        <v>1838</v>
      </c>
      <c r="E404" s="12" t="s">
        <v>384</v>
      </c>
      <c r="F404" s="16" t="n">
        <v>2</v>
      </c>
      <c r="G404" s="12" t="s">
        <v>1839</v>
      </c>
      <c r="H404" s="12" t="s">
        <v>1840</v>
      </c>
      <c r="I404" s="12" t="s">
        <v>1841</v>
      </c>
      <c r="J404" s="12" t="s">
        <v>1842</v>
      </c>
      <c r="K404" s="17" t="s">
        <v>298</v>
      </c>
    </row>
    <row r="405" customFormat="false" ht="15" hidden="false" customHeight="false" outlineLevel="0" collapsed="false">
      <c r="A405" s="12" t="n">
        <v>404</v>
      </c>
      <c r="B405" s="12" t="s">
        <v>139</v>
      </c>
      <c r="C405" s="12" t="s">
        <v>142</v>
      </c>
      <c r="D405" s="11" t="s">
        <v>882</v>
      </c>
      <c r="E405" s="12" t="s">
        <v>313</v>
      </c>
      <c r="F405" s="16" t="n">
        <v>3</v>
      </c>
      <c r="G405" s="12" t="s">
        <v>1843</v>
      </c>
      <c r="H405" s="12"/>
      <c r="I405" s="12"/>
      <c r="J405" s="12"/>
      <c r="K405" s="17" t="s">
        <v>298</v>
      </c>
    </row>
    <row r="406" customFormat="false" ht="23.85" hidden="false" customHeight="false" outlineLevel="0" collapsed="false">
      <c r="A406" s="12" t="n">
        <v>405</v>
      </c>
      <c r="B406" s="12" t="s">
        <v>139</v>
      </c>
      <c r="C406" s="12" t="s">
        <v>142</v>
      </c>
      <c r="D406" s="11" t="s">
        <v>409</v>
      </c>
      <c r="E406" s="12" t="s">
        <v>410</v>
      </c>
      <c r="F406" s="16" t="n">
        <v>3</v>
      </c>
      <c r="G406" s="12" t="s">
        <v>1844</v>
      </c>
      <c r="H406" s="12"/>
      <c r="I406" s="12" t="s">
        <v>1686</v>
      </c>
      <c r="J406" s="12"/>
      <c r="K406" s="17" t="s">
        <v>298</v>
      </c>
    </row>
    <row r="407" customFormat="false" ht="35.05" hidden="false" customHeight="false" outlineLevel="0" collapsed="false">
      <c r="A407" s="12" t="n">
        <v>406</v>
      </c>
      <c r="B407" s="12" t="s">
        <v>139</v>
      </c>
      <c r="C407" s="12" t="s">
        <v>142</v>
      </c>
      <c r="D407" s="11" t="s">
        <v>412</v>
      </c>
      <c r="E407" s="12" t="s">
        <v>410</v>
      </c>
      <c r="F407" s="16" t="n">
        <v>3</v>
      </c>
      <c r="G407" s="12" t="s">
        <v>1845</v>
      </c>
      <c r="H407" s="12"/>
      <c r="I407" s="12" t="s">
        <v>1846</v>
      </c>
      <c r="J407" s="12"/>
      <c r="K407" s="17" t="s">
        <v>298</v>
      </c>
    </row>
    <row r="408" customFormat="false" ht="23.85" hidden="false" customHeight="false" outlineLevel="0" collapsed="false">
      <c r="A408" s="12" t="n">
        <v>407</v>
      </c>
      <c r="B408" s="12" t="s">
        <v>139</v>
      </c>
      <c r="C408" s="12" t="s">
        <v>142</v>
      </c>
      <c r="D408" s="11" t="s">
        <v>1847</v>
      </c>
      <c r="E408" s="12" t="s">
        <v>313</v>
      </c>
      <c r="F408" s="16" t="n">
        <v>3</v>
      </c>
      <c r="G408" s="12" t="s">
        <v>1848</v>
      </c>
      <c r="H408" s="12"/>
      <c r="I408" s="12" t="s">
        <v>1849</v>
      </c>
      <c r="J408" s="12"/>
      <c r="K408" s="17" t="s">
        <v>298</v>
      </c>
    </row>
    <row r="409" customFormat="false" ht="57.45" hidden="false" customHeight="false" outlineLevel="0" collapsed="false">
      <c r="A409" s="12" t="n">
        <v>408</v>
      </c>
      <c r="B409" s="12" t="s">
        <v>139</v>
      </c>
      <c r="C409" s="12" t="s">
        <v>1850</v>
      </c>
      <c r="D409" s="11" t="s">
        <v>1851</v>
      </c>
      <c r="E409" s="12" t="s">
        <v>373</v>
      </c>
      <c r="F409" s="16" t="n">
        <v>3</v>
      </c>
      <c r="G409" s="12" t="s">
        <v>1852</v>
      </c>
      <c r="H409" s="12"/>
      <c r="I409" s="12" t="s">
        <v>1853</v>
      </c>
      <c r="J409" s="12"/>
      <c r="K409" s="17" t="s">
        <v>298</v>
      </c>
    </row>
    <row r="410" customFormat="false" ht="23.85" hidden="false" customHeight="false" outlineLevel="0" collapsed="false">
      <c r="A410" s="12" t="n">
        <v>409</v>
      </c>
      <c r="B410" s="12" t="s">
        <v>139</v>
      </c>
      <c r="C410" s="12" t="s">
        <v>1854</v>
      </c>
      <c r="D410" s="11" t="s">
        <v>1851</v>
      </c>
      <c r="E410" s="12" t="s">
        <v>373</v>
      </c>
      <c r="F410" s="16" t="n">
        <v>3</v>
      </c>
      <c r="G410" s="12" t="s">
        <v>1855</v>
      </c>
      <c r="H410" s="12"/>
      <c r="I410" s="12" t="s">
        <v>1853</v>
      </c>
      <c r="J410" s="12"/>
      <c r="K410" s="17" t="s">
        <v>298</v>
      </c>
    </row>
    <row r="411" customFormat="false" ht="23.85" hidden="false" customHeight="false" outlineLevel="0" collapsed="false">
      <c r="A411" s="12" t="n">
        <v>410</v>
      </c>
      <c r="B411" s="12" t="s">
        <v>139</v>
      </c>
      <c r="C411" s="12" t="s">
        <v>1756</v>
      </c>
      <c r="D411" s="11" t="s">
        <v>1856</v>
      </c>
      <c r="E411" s="12" t="s">
        <v>1478</v>
      </c>
      <c r="F411" s="16" t="n">
        <v>3</v>
      </c>
      <c r="G411" s="12" t="s">
        <v>1857</v>
      </c>
      <c r="H411" s="12" t="s">
        <v>1858</v>
      </c>
      <c r="I411" s="12" t="s">
        <v>1859</v>
      </c>
      <c r="J411" s="12"/>
      <c r="K411" s="17" t="s">
        <v>298</v>
      </c>
    </row>
    <row r="412" customFormat="false" ht="23.85" hidden="false" customHeight="false" outlineLevel="0" collapsed="false">
      <c r="A412" s="12" t="n">
        <v>411</v>
      </c>
      <c r="B412" s="12" t="s">
        <v>139</v>
      </c>
      <c r="C412" s="12" t="s">
        <v>1767</v>
      </c>
      <c r="D412" s="11" t="s">
        <v>1860</v>
      </c>
      <c r="E412" s="12" t="s">
        <v>293</v>
      </c>
      <c r="F412" s="16" t="n">
        <v>3</v>
      </c>
      <c r="G412" s="12" t="s">
        <v>1861</v>
      </c>
      <c r="H412" s="12" t="s">
        <v>1862</v>
      </c>
      <c r="I412" s="12" t="s">
        <v>1863</v>
      </c>
      <c r="J412" s="12"/>
      <c r="K412" s="17" t="s">
        <v>298</v>
      </c>
    </row>
    <row r="413" customFormat="false" ht="23.85" hidden="false" customHeight="false" outlineLevel="0" collapsed="false">
      <c r="A413" s="12" t="n">
        <v>412</v>
      </c>
      <c r="B413" s="12" t="s">
        <v>139</v>
      </c>
      <c r="C413" s="12" t="s">
        <v>1822</v>
      </c>
      <c r="D413" s="11" t="s">
        <v>1864</v>
      </c>
      <c r="E413" s="12" t="s">
        <v>1491</v>
      </c>
      <c r="F413" s="16" t="n">
        <v>3</v>
      </c>
      <c r="G413" s="12" t="s">
        <v>1865</v>
      </c>
      <c r="H413" s="12" t="s">
        <v>1866</v>
      </c>
      <c r="I413" s="12" t="s">
        <v>1867</v>
      </c>
      <c r="J413" s="12"/>
      <c r="K413" s="17" t="s">
        <v>298</v>
      </c>
    </row>
    <row r="414" customFormat="false" ht="35.05" hidden="false" customHeight="false" outlineLevel="0" collapsed="false">
      <c r="A414" s="12" t="n">
        <v>413</v>
      </c>
      <c r="B414" s="12" t="s">
        <v>139</v>
      </c>
      <c r="C414" s="12" t="s">
        <v>1822</v>
      </c>
      <c r="D414" s="11" t="s">
        <v>1868</v>
      </c>
      <c r="E414" s="12" t="s">
        <v>1603</v>
      </c>
      <c r="F414" s="16" t="n">
        <v>3</v>
      </c>
      <c r="G414" s="12" t="s">
        <v>1869</v>
      </c>
      <c r="H414" s="12" t="s">
        <v>1870</v>
      </c>
      <c r="I414" s="12" t="s">
        <v>1871</v>
      </c>
      <c r="J414" s="12"/>
      <c r="K414" s="17" t="s">
        <v>298</v>
      </c>
    </row>
    <row r="415" customFormat="false" ht="23.85" hidden="false" customHeight="false" outlineLevel="0" collapsed="false">
      <c r="A415" s="12" t="n">
        <v>414</v>
      </c>
      <c r="B415" s="12" t="s">
        <v>139</v>
      </c>
      <c r="C415" s="12" t="s">
        <v>142</v>
      </c>
      <c r="D415" s="11" t="s">
        <v>1872</v>
      </c>
      <c r="E415" s="12" t="s">
        <v>313</v>
      </c>
      <c r="F415" s="16" t="n">
        <v>3</v>
      </c>
      <c r="G415" s="12" t="s">
        <v>1873</v>
      </c>
      <c r="H415" s="12" t="s">
        <v>1874</v>
      </c>
      <c r="I415" s="12" t="s">
        <v>1875</v>
      </c>
      <c r="J415" s="12"/>
      <c r="K415" s="17" t="s">
        <v>298</v>
      </c>
    </row>
    <row r="416" customFormat="false" ht="23.85" hidden="false" customHeight="false" outlineLevel="0" collapsed="false">
      <c r="A416" s="12" t="n">
        <v>415</v>
      </c>
      <c r="B416" s="12" t="s">
        <v>139</v>
      </c>
      <c r="C416" s="12" t="s">
        <v>1876</v>
      </c>
      <c r="D416" s="11" t="s">
        <v>1724</v>
      </c>
      <c r="E416" s="12" t="s">
        <v>434</v>
      </c>
      <c r="F416" s="16" t="n">
        <v>3</v>
      </c>
      <c r="G416" s="12" t="s">
        <v>1877</v>
      </c>
      <c r="H416" s="12"/>
      <c r="I416" s="12" t="s">
        <v>1878</v>
      </c>
      <c r="J416" s="12"/>
      <c r="K416" s="17" t="s">
        <v>298</v>
      </c>
    </row>
    <row r="417" customFormat="false" ht="15" hidden="false" customHeight="false" outlineLevel="0" collapsed="false">
      <c r="A417" s="12" t="n">
        <v>416</v>
      </c>
      <c r="B417" s="12" t="s">
        <v>139</v>
      </c>
      <c r="C417" s="12" t="s">
        <v>1876</v>
      </c>
      <c r="D417" s="11" t="s">
        <v>1727</v>
      </c>
      <c r="E417" s="12" t="s">
        <v>434</v>
      </c>
      <c r="F417" s="16" t="n">
        <v>3</v>
      </c>
      <c r="G417" s="12" t="s">
        <v>1879</v>
      </c>
      <c r="H417" s="12"/>
      <c r="I417" s="12" t="s">
        <v>1880</v>
      </c>
      <c r="J417" s="12"/>
      <c r="K417" s="17" t="s">
        <v>298</v>
      </c>
    </row>
    <row r="418" customFormat="false" ht="35.05" hidden="false" customHeight="false" outlineLevel="0" collapsed="false">
      <c r="A418" s="12" t="n">
        <v>417</v>
      </c>
      <c r="B418" s="12" t="s">
        <v>139</v>
      </c>
      <c r="C418" s="12" t="s">
        <v>1881</v>
      </c>
      <c r="D418" s="11" t="s">
        <v>1851</v>
      </c>
      <c r="E418" s="12" t="s">
        <v>373</v>
      </c>
      <c r="F418" s="16" t="n">
        <v>3</v>
      </c>
      <c r="G418" s="12" t="s">
        <v>1882</v>
      </c>
      <c r="H418" s="12"/>
      <c r="I418" s="12" t="s">
        <v>1853</v>
      </c>
      <c r="J418" s="12"/>
      <c r="K418" s="17" t="s">
        <v>298</v>
      </c>
    </row>
    <row r="419" customFormat="false" ht="35.05" hidden="false" customHeight="false" outlineLevel="0" collapsed="false">
      <c r="A419" s="12" t="n">
        <v>418</v>
      </c>
      <c r="B419" s="12" t="s">
        <v>145</v>
      </c>
      <c r="C419" s="12" t="s">
        <v>147</v>
      </c>
      <c r="D419" s="11" t="s">
        <v>1883</v>
      </c>
      <c r="E419" s="12" t="s">
        <v>373</v>
      </c>
      <c r="F419" s="16" t="n">
        <v>2</v>
      </c>
      <c r="G419" s="12" t="s">
        <v>1884</v>
      </c>
      <c r="H419" s="12" t="s">
        <v>1885</v>
      </c>
      <c r="I419" s="12" t="s">
        <v>1886</v>
      </c>
      <c r="J419" s="12" t="s">
        <v>1887</v>
      </c>
      <c r="K419" s="17" t="s">
        <v>298</v>
      </c>
    </row>
    <row r="420" customFormat="false" ht="23.85" hidden="false" customHeight="false" outlineLevel="0" collapsed="false">
      <c r="A420" s="12" t="n">
        <v>419</v>
      </c>
      <c r="B420" s="12" t="s">
        <v>149</v>
      </c>
      <c r="C420" s="12" t="s">
        <v>1888</v>
      </c>
      <c r="D420" s="11" t="s">
        <v>1851</v>
      </c>
      <c r="E420" s="12" t="s">
        <v>410</v>
      </c>
      <c r="F420" s="16" t="n">
        <v>3</v>
      </c>
      <c r="G420" s="12" t="s">
        <v>1889</v>
      </c>
      <c r="H420" s="12"/>
      <c r="I420" s="12"/>
      <c r="J420" s="12"/>
      <c r="K420" s="17" t="s">
        <v>298</v>
      </c>
    </row>
    <row r="421" customFormat="false" ht="23.85" hidden="false" customHeight="false" outlineLevel="0" collapsed="false">
      <c r="A421" s="12" t="n">
        <v>420</v>
      </c>
      <c r="B421" s="12" t="s">
        <v>149</v>
      </c>
      <c r="C421" s="12" t="s">
        <v>1890</v>
      </c>
      <c r="D421" s="11" t="s">
        <v>1851</v>
      </c>
      <c r="E421" s="12" t="s">
        <v>410</v>
      </c>
      <c r="F421" s="16" t="n">
        <v>3</v>
      </c>
      <c r="G421" s="12" t="s">
        <v>1891</v>
      </c>
      <c r="H421" s="12"/>
      <c r="I421" s="12"/>
      <c r="J421" s="12"/>
      <c r="K421" s="17" t="s">
        <v>298</v>
      </c>
    </row>
    <row r="422" customFormat="false" ht="23.85" hidden="false" customHeight="false" outlineLevel="0" collapsed="false">
      <c r="A422" s="12" t="n">
        <v>421</v>
      </c>
      <c r="B422" s="12" t="s">
        <v>149</v>
      </c>
      <c r="C422" s="12" t="s">
        <v>1892</v>
      </c>
      <c r="D422" s="11" t="s">
        <v>1851</v>
      </c>
      <c r="E422" s="12" t="s">
        <v>410</v>
      </c>
      <c r="F422" s="16" t="n">
        <v>3</v>
      </c>
      <c r="G422" s="12" t="s">
        <v>1893</v>
      </c>
      <c r="H422" s="12"/>
      <c r="I422" s="12"/>
      <c r="J422" s="12"/>
      <c r="K422" s="17" t="s">
        <v>298</v>
      </c>
    </row>
    <row r="423" customFormat="false" ht="23.85" hidden="false" customHeight="false" outlineLevel="0" collapsed="false">
      <c r="A423" s="12" t="n">
        <v>422</v>
      </c>
      <c r="B423" s="12" t="s">
        <v>149</v>
      </c>
      <c r="C423" s="12" t="s">
        <v>1894</v>
      </c>
      <c r="D423" s="11" t="s">
        <v>1851</v>
      </c>
      <c r="E423" s="12" t="s">
        <v>410</v>
      </c>
      <c r="F423" s="16" t="n">
        <v>3</v>
      </c>
      <c r="G423" s="12" t="s">
        <v>1895</v>
      </c>
      <c r="H423" s="12"/>
      <c r="I423" s="12"/>
      <c r="J423" s="12"/>
      <c r="K423" s="17" t="s">
        <v>298</v>
      </c>
    </row>
    <row r="424" customFormat="false" ht="23.85" hidden="false" customHeight="false" outlineLevel="0" collapsed="false">
      <c r="A424" s="12" t="n">
        <v>423</v>
      </c>
      <c r="B424" s="12" t="s">
        <v>149</v>
      </c>
      <c r="C424" s="12" t="s">
        <v>1896</v>
      </c>
      <c r="D424" s="11" t="s">
        <v>1851</v>
      </c>
      <c r="E424" s="12" t="s">
        <v>410</v>
      </c>
      <c r="F424" s="16" t="n">
        <v>3</v>
      </c>
      <c r="G424" s="12" t="s">
        <v>1897</v>
      </c>
      <c r="H424" s="12"/>
      <c r="I424" s="12"/>
      <c r="J424" s="12"/>
      <c r="K424" s="17" t="s">
        <v>298</v>
      </c>
    </row>
  </sheetData>
  <autoFilter ref="A1:K424"/>
  <conditionalFormatting sqref="F2:F424">
    <cfRule type="cellIs" priority="2" operator="equal" aboveAverage="0" equalAverage="0" bottom="0" percent="0" rank="0" text="" dxfId="6">
      <formula>1</formula>
    </cfRule>
    <cfRule type="cellIs" priority="3" operator="equal" aboveAverage="0" equalAverage="0" bottom="0" percent="0" rank="0" text="" dxfId="7">
      <formula>2</formula>
    </cfRule>
  </conditionalFormatting>
  <conditionalFormatting sqref="K2:K424">
    <cfRule type="cellIs" priority="4" operator="equal" aboveAverage="0" equalAverage="0" bottom="0" percent="0" rank="0" text="" dxfId="8">
      <formula>"Yes"</formula>
    </cfRule>
  </conditionalFormatting>
  <dataValidations count="1">
    <dataValidation allowBlank="true" errorStyle="stop" operator="between" showDropDown="false" showErrorMessage="false" showInputMessage="false" sqref="K2:K42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2026-10-04T02:38:11Z</dcterms:created>
  <dc:creator>openpyxl</dc:creator>
  <dc:description/>
  <dc:language>en-US</dc:language>
  <cp:lastModifiedBy/>
  <dcterms:modified xsi:type="dcterms:W3CDTF">2026-10-04T02:38:11Z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